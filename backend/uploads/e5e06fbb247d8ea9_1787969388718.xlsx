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84" windowWidth="19416" windowHeight="9228"/>
  </bookViews>
  <sheets>
    <sheet name="SHOP BPV" sheetId="1" r:id="rId1"/>
  </sheets>
  <definedNames>
    <definedName name="_xlnm.Print_Area" localSheetId="0">'SHOP BPV'!$A$1:$BL$47</definedName>
    <definedName name="_xlnm.Print_Titles" localSheetId="0">'SHOP BPV'!$23:$25</definedName>
  </definedNames>
  <calcPr calcId="145621"/>
</workbook>
</file>

<file path=xl/calcChain.xml><?xml version="1.0" encoding="utf-8"?>
<calcChain xmlns="http://schemas.openxmlformats.org/spreadsheetml/2006/main">
  <c r="AG30" i="1" l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29" i="1" l="1"/>
  <c r="A30" i="1"/>
  <c r="A31" i="1" s="1"/>
  <c r="A33" i="1" s="1"/>
  <c r="A34" i="1" s="1"/>
  <c r="A35" i="1" s="1"/>
  <c r="BL21" i="1" l="1"/>
  <c r="BD21" i="1"/>
  <c r="H47" i="1" l="1"/>
  <c r="H27" i="1" l="1"/>
  <c r="H28" i="1"/>
  <c r="BL28" i="1"/>
  <c r="AH25" i="1" l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AZ25" i="1" s="1"/>
  <c r="BA25" i="1" s="1"/>
  <c r="BB25" i="1" s="1"/>
  <c r="BC25" i="1" s="1"/>
  <c r="BD25" i="1" s="1"/>
  <c r="BE25" i="1" s="1"/>
  <c r="BF25" i="1" s="1"/>
  <c r="BG25" i="1" s="1"/>
  <c r="BH25" i="1" s="1"/>
  <c r="BI25" i="1" s="1"/>
  <c r="BJ25" i="1" s="1"/>
  <c r="BK25" i="1" s="1"/>
</calcChain>
</file>

<file path=xl/sharedStrings.xml><?xml version="1.0" encoding="utf-8"?>
<sst xmlns="http://schemas.openxmlformats.org/spreadsheetml/2006/main" count="129" uniqueCount="71">
  <si>
    <t>SSA</t>
  </si>
  <si>
    <t>HBG</t>
  </si>
  <si>
    <t>STT</t>
  </si>
  <si>
    <t>Tên bản vẽ</t>
  </si>
  <si>
    <t>% HT</t>
  </si>
  <si>
    <t>Ngày dự kiến trình</t>
  </si>
  <si>
    <t>Ngày thực tế trình</t>
  </si>
  <si>
    <t>Ngày trình lại</t>
  </si>
  <si>
    <t>Ngày phê duyệt</t>
  </si>
  <si>
    <t>Tháng 9</t>
  </si>
  <si>
    <t>Ghi chú</t>
  </si>
  <si>
    <t>Tuần 1</t>
  </si>
  <si>
    <t>Tuần 2</t>
  </si>
  <si>
    <t>Tuần 3</t>
  </si>
  <si>
    <t>Tuần 4</t>
  </si>
  <si>
    <t>Tuần 5</t>
  </si>
  <si>
    <t>SHOPDRAWING SUBMISSION FOR APPROVAL</t>
  </si>
  <si>
    <t>I</t>
  </si>
  <si>
    <t>Hệ điều hòa</t>
  </si>
  <si>
    <t>Hệ nước</t>
  </si>
  <si>
    <t>Phản hồi BQLDA</t>
  </si>
  <si>
    <t>Ngày dự kiến trình lại</t>
  </si>
  <si>
    <t>Lần 1</t>
  </si>
  <si>
    <t>Lần 2</t>
  </si>
  <si>
    <t>Lần 3</t>
  </si>
  <si>
    <t>Lần 4</t>
  </si>
  <si>
    <t>Lần 5</t>
  </si>
  <si>
    <t>CAM RANH</t>
  </si>
  <si>
    <t>II</t>
  </si>
  <si>
    <t>PROJECT NAME: BÃI TRÀM ESTATES</t>
  </si>
  <si>
    <t>DỰ ÁN:  KHU DU LỊCH SINH THÁI HÒN NGỌC BÃI TRÀM</t>
  </si>
  <si>
    <t xml:space="preserve">PACKAGE: MEP </t>
  </si>
  <si>
    <t xml:space="preserve">GÓI THẦU: CƠ </t>
  </si>
  <si>
    <t>REV: BTE-HBG-SHD-BPV</t>
  </si>
  <si>
    <t>BTE-HBG-SHD-BPV:</t>
  </si>
  <si>
    <t xml:space="preserve"> BEACH POOL VILLA - 1BR</t>
  </si>
  <si>
    <t>HỆ THỐNG ĐIỀU HÒA KHÔNG KHÍ VÀ THÔNG GIÓ - SƠ ĐỒ NGUYÊN LÝ - DANH MỤC THIẾT BỊ-MẶT BẰNG
MVAC SYSTEM - SCHEMATIC DIAGRAM - EQUIPMENT SCHEDULES - MVAC PLAN</t>
  </si>
  <si>
    <t>HỆ THỐNG ĐIỀU HÒA KHÔNG KHÍ VÀ THÔNG GIÓ - SƠ ĐỒ NGUYÊN LÝ - DANH MỤC THIẾT BỊ - MẶT BẰNG
MVAC SYSTEM - SCHEMATIC DIAGRAM - EQUIPMENT SCHEDULES - MVAC PLAN</t>
  </si>
  <si>
    <t xml:space="preserve"> BEACH POOL VILLA - 2BR</t>
  </si>
  <si>
    <t>BEACH POOL VILLAS</t>
  </si>
  <si>
    <t>Comment</t>
  </si>
  <si>
    <t>Ngày</t>
  </si>
  <si>
    <t xml:space="preserve">Mã Hiệu </t>
  </si>
  <si>
    <t>BTE-WP4-HBC-SHD-MEP-HVAC-HVA-BPV-001</t>
  </si>
  <si>
    <t>BTE-WP4-HBC-SHD-MEP-HVAC-HVA-BPV-002</t>
  </si>
  <si>
    <t>BTE-WP4-HBC-SHD-MEP-HVAC-HVA-BPV-003</t>
  </si>
  <si>
    <t>BTE-WP4-HBC-SHD-MEP-HVAC-HVA-BPV-004</t>
  </si>
  <si>
    <t>BTE-WP4-HBC-SHD-MEP-HVAC-HVA-BPV-005</t>
  </si>
  <si>
    <t>BTE-WP4-HBC-SHD-MEP-HVAC-HVA-BPV-006</t>
  </si>
  <si>
    <t>BTE-WP4-HBC-SHD- MEP-PLB-PWS-BPV-1BRA-001</t>
  </si>
  <si>
    <t>BTE-WP4-HBC-SHD- MEP-PLB-PID-BPV-1BRA-001</t>
  </si>
  <si>
    <t>BTE-WP4-HBC-SHD- MEP-PLB-PWS-BPV-1BRB-001</t>
  </si>
  <si>
    <t>BTE-WP4-HBC-SHD- MEP-PLB-PID-BPV-1BRB-001</t>
  </si>
  <si>
    <t>BTE-WP4-HBC-SHD- MEP-PLB-PL-BPV-2BR-001</t>
  </si>
  <si>
    <t>BTE-WP4-HBC-SHD- MEP-PLB-PWS-BPV-2BR-001</t>
  </si>
  <si>
    <t>BTE-WP4-HBC-SHD- MEP-PLB-PID-BPV-2BR-001</t>
  </si>
  <si>
    <t>R</t>
  </si>
  <si>
    <t>MẶT BẰNG CẤP NƯỚC BEACH POOL VILLA - 1BRA 
- SƠ ĐỒ NGUYÊN LÝ BEACH POOL VILLA - 1BRA
WATER SUPPLY PLAN BEACH POOL VILLA - 1BRA 
- SCHEMATIC DIAGRAM BEACH POOL VILLA - 1BRA</t>
  </si>
  <si>
    <t>MẶT BẰNG THOÁT NƯỚC  BEACH POOL VILLA - 1BRA
 - SƠ ĐỒ NGUYÊN LÝ  BEACH POOL VILLA - 1BRA
DRAINAGE WATER SYSTEM PLAN  BEACH POOL VILLA - 1BRA
- SCHEMATIC DIAGRAM  BEACH POOL VILLA - 1BRA</t>
  </si>
  <si>
    <t>MẶT BẰNG CẤP NƯỚC BEACH POOL VILLA 49
- SƠ ĐỒ NGUYÊN LÝ BEACH POOL VILLA 49
WATER SUPPLY PLAN BEACH POOL VILLA 49
- SCHEMATIC DIAGRAM BEACH POOL VILLA 49</t>
  </si>
  <si>
    <t>MẶT BẰNG THOÁT NƯỚC  BEACH POOL VILLA 49
 - SƠ ĐỒ NGUYÊN LÝ  BEACH POOL VILLA 49
DRAINAGE WATER SYSTEM PLAN  BEACH POOL VILLA 49
- SCHEMATIC DIAGRAM  BEACH POOL VILLA 49</t>
  </si>
  <si>
    <t>MẶT BẰNG CẤP NƯỚC BEACH POOL VILLA - 1BRB
 - SƠ ĐỒ NGUYÊN LÝ BEACH POOL VILLA - 1BRB
WATER SUPPLY PLAN BEACH POOL VILLA - 1BRB
- SCHEMATIC DIAGRAM BEACH POOL VILLA - 1BRB</t>
  </si>
  <si>
    <t>MẶT BẰNG THOÁT NƯỚC BEACH POOL VILLA - 1BRB
- SƠ ĐỒ NGUYÊN LÝ BEACH POOL VILLA - 1BRB
DRAINAGE WATER SYSTEM PLAN BEACH POOL VILLA - 1BRB
 - SCHEMATIC DIAGRAM BEACH POOL VILLA - 1BRB</t>
  </si>
  <si>
    <t>HỆ THỐNG CẤP THOÁT NƯỚC BEACH POOL VILLA - 2BR 
- SƠ ĐỒ NGUYÊN LÝ BEACH POOL VILLA - 2BR
PLUMBING AND SANITARY SYSTEM BEACH POOL VILLA - 2BR
 - SCHEMATIC DIAGRAM BEACH POOL VILLA - 2BR</t>
  </si>
  <si>
    <t>MẶT BẰNG CẤP NƯỚC BEACH POOL VILLA - 2BR
WATER SUPPLY PLAN BEACH POOL VILLA - 2BR</t>
  </si>
  <si>
    <t>MẶT BẰNG HỆ THỐNG THOÁT NƯỚC BEACH POOL VILLA - 2BR
DRAINAGE WATER SYSTEM PLAN BEACH POOL VILLA - 2BR</t>
  </si>
  <si>
    <t xml:space="preserve">CHI TIẾT LẮP ĐẶT ĐIỂN HÌNH
TYPICAL INSTALL DETAIL </t>
  </si>
  <si>
    <t>BTE-WP4-HBC-SHD- MEP-PLB-PWS-BPV-1BRA-002</t>
  </si>
  <si>
    <t>BTE-WP4-HBC-SHD- MEP-PLB-PID-BPV-1BRA-002</t>
  </si>
  <si>
    <t>BTE-WP4-HBC-SHD- MEP-PLB-PL-BPV - 001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</si>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</sst>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-409]d\-mmm\-yy;@"/>
    <numFmt numFmtId="165" formatCode="dd/mm/yy;@"/>
    <numFmt numFmtId="166" formatCode="mm"/>
    <numFmt numFmtId="167" formatCode="dd"/>
    <numFmt numFmtId="168" formatCode="d/mm/yyyy;@"/>
    <numFmt numFmtId="169" formatCode="[$-409]dd\-mmm\-yy;@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8"/>
      <color rgb="FF0000FF"/>
      <name val="Times New Roman"/>
      <family val="1"/>
    </font>
    <font>
      <sz val="9"/>
      <name val="Times New Roman"/>
      <family val="1"/>
    </font>
    <font>
      <sz val="13"/>
      <name val="Times New Roman"/>
      <family val="1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sz val="12"/>
      <color rgb="FF0000FF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rgb="FFFF0000"/>
      </left>
      <right/>
      <top style="double">
        <color auto="1"/>
      </top>
      <bottom style="double">
        <color auto="1"/>
      </bottom>
      <diagonal/>
    </border>
    <border>
      <left/>
      <right style="double">
        <color rgb="FFFF0000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/>
      <top style="double">
        <color auto="1"/>
      </top>
      <bottom/>
      <diagonal/>
    </border>
    <border>
      <left/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50">
    <xf numFmtId="0" fontId="0" fillId="0" borderId="0" xfId="0"/>
    <xf numFmtId="0" fontId="3" fillId="3" borderId="3" xfId="0" applyFont="1" applyFill="1" applyBorder="1" applyAlignment="1">
      <alignment vertical="center"/>
    </xf>
    <xf numFmtId="0" fontId="4" fillId="3" borderId="0" xfId="0" applyFont="1" applyFill="1"/>
    <xf numFmtId="0" fontId="3" fillId="3" borderId="2" xfId="0" applyFont="1" applyFill="1" applyBorder="1" applyAlignment="1">
      <alignment vertical="center"/>
    </xf>
    <xf numFmtId="167" fontId="4" fillId="3" borderId="2" xfId="0" applyNumberFormat="1" applyFont="1" applyFill="1" applyBorder="1" applyAlignment="1">
      <alignment horizontal="center" vertical="center"/>
    </xf>
    <xf numFmtId="16" fontId="4" fillId="3" borderId="0" xfId="0" applyNumberFormat="1" applyFont="1" applyFill="1"/>
    <xf numFmtId="0" fontId="4" fillId="4" borderId="0" xfId="0" applyFont="1" applyFill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0" fontId="6" fillId="4" borderId="2" xfId="0" applyNumberFormat="1" applyFont="1" applyFill="1" applyBorder="1" applyAlignment="1">
      <alignment horizontal="center" vertical="center"/>
    </xf>
    <xf numFmtId="0" fontId="6" fillId="4" borderId="2" xfId="0" applyNumberFormat="1" applyFont="1" applyFill="1" applyBorder="1" applyAlignment="1">
      <alignment vertical="center" wrapText="1"/>
    </xf>
    <xf numFmtId="14" fontId="5" fillId="4" borderId="2" xfId="0" applyNumberFormat="1" applyFont="1" applyFill="1" applyBorder="1" applyAlignment="1">
      <alignment horizontal="center" vertical="center"/>
    </xf>
    <xf numFmtId="165" fontId="5" fillId="4" borderId="2" xfId="0" quotePrefix="1" applyNumberFormat="1" applyFont="1" applyFill="1" applyBorder="1" applyAlignment="1">
      <alignment horizontal="center" vertical="center"/>
    </xf>
    <xf numFmtId="165" fontId="5" fillId="4" borderId="2" xfId="0" quotePrefix="1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5" fontId="5" fillId="4" borderId="5" xfId="0" quotePrefix="1" applyNumberFormat="1" applyFont="1" applyFill="1" applyBorder="1" applyAlignment="1">
      <alignment horizontal="center" vertical="center"/>
    </xf>
    <xf numFmtId="165" fontId="5" fillId="4" borderId="5" xfId="0" applyNumberFormat="1" applyFont="1" applyFill="1" applyBorder="1" applyAlignment="1">
      <alignment horizontal="center" vertical="center"/>
    </xf>
    <xf numFmtId="165" fontId="5" fillId="4" borderId="5" xfId="0" quotePrefix="1" applyNumberFormat="1" applyFont="1" applyFill="1" applyBorder="1" applyAlignment="1">
      <alignment horizontal="center" vertical="center" wrapText="1"/>
    </xf>
    <xf numFmtId="0" fontId="6" fillId="4" borderId="5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7" fillId="0" borderId="0" xfId="0" applyFont="1"/>
    <xf numFmtId="9" fontId="5" fillId="4" borderId="2" xfId="0" applyNumberFormat="1" applyFont="1" applyFill="1" applyBorder="1" applyAlignment="1">
      <alignment horizontal="center" vertical="center" wrapText="1"/>
    </xf>
    <xf numFmtId="9" fontId="5" fillId="4" borderId="5" xfId="0" applyNumberFormat="1" applyFont="1" applyFill="1" applyBorder="1" applyAlignment="1">
      <alignment horizontal="center" vertical="center" wrapText="1"/>
    </xf>
    <xf numFmtId="14" fontId="5" fillId="4" borderId="5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14" fontId="4" fillId="0" borderId="0" xfId="0" applyNumberFormat="1" applyFont="1"/>
    <xf numFmtId="14" fontId="4" fillId="4" borderId="0" xfId="0" applyNumberFormat="1" applyFont="1" applyFill="1"/>
    <xf numFmtId="0" fontId="12" fillId="2" borderId="2" xfId="0" applyFont="1" applyFill="1" applyBorder="1" applyAlignment="1">
      <alignment horizontal="left" vertical="center"/>
    </xf>
    <xf numFmtId="9" fontId="12" fillId="2" borderId="2" xfId="0" applyNumberFormat="1" applyFont="1" applyFill="1" applyBorder="1" applyAlignment="1">
      <alignment horizontal="left" vertical="center" wrapText="1"/>
    </xf>
    <xf numFmtId="14" fontId="12" fillId="2" borderId="2" xfId="0" applyNumberFormat="1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14" fontId="8" fillId="4" borderId="0" xfId="0" applyNumberFormat="1" applyFont="1" applyFill="1" applyAlignment="1">
      <alignment horizontal="left"/>
    </xf>
    <xf numFmtId="0" fontId="8" fillId="2" borderId="10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4" fontId="8" fillId="2" borderId="14" xfId="0" applyNumberFormat="1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center" vertical="center"/>
    </xf>
    <xf numFmtId="16" fontId="10" fillId="4" borderId="0" xfId="0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10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167" fontId="4" fillId="5" borderId="2" xfId="0" applyNumberFormat="1" applyFont="1" applyFill="1" applyBorder="1" applyAlignment="1">
      <alignment horizontal="center" vertical="center"/>
    </xf>
    <xf numFmtId="16" fontId="13" fillId="5" borderId="7" xfId="0" applyNumberFormat="1" applyFont="1" applyFill="1" applyBorder="1"/>
    <xf numFmtId="16" fontId="4" fillId="5" borderId="0" xfId="0" applyNumberFormat="1" applyFont="1" applyFill="1" applyBorder="1"/>
    <xf numFmtId="16" fontId="4" fillId="5" borderId="0" xfId="0" applyNumberFormat="1" applyFont="1" applyFill="1"/>
    <xf numFmtId="0" fontId="4" fillId="5" borderId="0" xfId="0" applyFont="1" applyFill="1"/>
    <xf numFmtId="14" fontId="3" fillId="3" borderId="2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7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14" fontId="14" fillId="0" borderId="0" xfId="1" applyNumberFormat="1" applyFont="1" applyBorder="1" applyAlignment="1">
      <alignment horizontal="center" vertical="center"/>
    </xf>
    <xf numFmtId="14" fontId="14" fillId="0" borderId="0" xfId="1" applyNumberFormat="1" applyFont="1" applyAlignment="1">
      <alignment horizontal="center" vertical="center"/>
    </xf>
    <xf numFmtId="0" fontId="15" fillId="0" borderId="0" xfId="1" applyFont="1" applyAlignment="1">
      <alignment vertical="center" wrapText="1"/>
    </xf>
    <xf numFmtId="0" fontId="14" fillId="0" borderId="0" xfId="1" applyFont="1" applyAlignment="1">
      <alignment vertical="center"/>
    </xf>
    <xf numFmtId="0" fontId="14" fillId="0" borderId="0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6" fillId="0" borderId="0" xfId="1" applyFont="1" applyBorder="1" applyAlignment="1">
      <alignment vertical="center"/>
    </xf>
    <xf numFmtId="0" fontId="14" fillId="0" borderId="0" xfId="1" applyFont="1" applyBorder="1" applyAlignment="1">
      <alignment vertical="center"/>
    </xf>
    <xf numFmtId="0" fontId="14" fillId="0" borderId="0" xfId="1" applyFont="1" applyBorder="1" applyAlignment="1">
      <alignment horizontal="left" vertical="center"/>
    </xf>
    <xf numFmtId="14" fontId="16" fillId="0" borderId="0" xfId="1" applyNumberFormat="1" applyFont="1" applyBorder="1" applyAlignment="1">
      <alignment horizontal="center" vertical="center"/>
    </xf>
    <xf numFmtId="165" fontId="16" fillId="0" borderId="0" xfId="1" applyNumberFormat="1" applyFont="1" applyBorder="1" applyAlignment="1">
      <alignment horizontal="center" vertical="center"/>
    </xf>
    <xf numFmtId="165" fontId="14" fillId="0" borderId="0" xfId="1" applyNumberFormat="1" applyFont="1" applyBorder="1" applyAlignment="1">
      <alignment horizontal="center" vertical="center"/>
    </xf>
    <xf numFmtId="168" fontId="14" fillId="0" borderId="0" xfId="1" applyNumberFormat="1" applyFont="1" applyBorder="1" applyAlignment="1">
      <alignment horizontal="center" vertical="center"/>
    </xf>
    <xf numFmtId="0" fontId="17" fillId="0" borderId="0" xfId="1" applyFont="1" applyAlignment="1">
      <alignment vertical="center"/>
    </xf>
    <xf numFmtId="0" fontId="18" fillId="0" borderId="0" xfId="1" applyFont="1" applyAlignment="1">
      <alignment horizontal="left" vertical="center" wrapText="1"/>
    </xf>
    <xf numFmtId="0" fontId="18" fillId="0" borderId="0" xfId="1" applyFont="1" applyAlignment="1">
      <alignment vertical="center" wrapText="1"/>
    </xf>
    <xf numFmtId="0" fontId="19" fillId="0" borderId="0" xfId="1" applyFont="1" applyAlignment="1">
      <alignment vertical="center" wrapText="1"/>
    </xf>
    <xf numFmtId="0" fontId="20" fillId="0" borderId="0" xfId="1" applyFont="1" applyAlignment="1">
      <alignment horizontal="left" vertical="center" wrapText="1"/>
    </xf>
    <xf numFmtId="0" fontId="9" fillId="4" borderId="7" xfId="0" applyFont="1" applyFill="1" applyBorder="1" applyAlignment="1">
      <alignment horizontal="center" vertical="center"/>
    </xf>
    <xf numFmtId="169" fontId="21" fillId="4" borderId="2" xfId="0" quotePrefix="1" applyNumberFormat="1" applyFont="1" applyFill="1" applyBorder="1" applyAlignment="1">
      <alignment horizontal="center" vertical="center" wrapText="1"/>
    </xf>
    <xf numFmtId="14" fontId="3" fillId="3" borderId="15" xfId="0" applyNumberFormat="1" applyFont="1" applyFill="1" applyBorder="1" applyAlignment="1">
      <alignment vertical="center" wrapText="1"/>
    </xf>
    <xf numFmtId="14" fontId="3" fillId="3" borderId="15" xfId="0" applyNumberFormat="1" applyFont="1" applyFill="1" applyBorder="1" applyAlignment="1">
      <alignment horizontal="center" vertical="center" wrapText="1"/>
    </xf>
    <xf numFmtId="14" fontId="12" fillId="4" borderId="2" xfId="0" applyNumberFormat="1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left" vertical="center"/>
    </xf>
    <xf numFmtId="0" fontId="12" fillId="4" borderId="7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9" fontId="12" fillId="4" borderId="2" xfId="0" applyNumberFormat="1" applyFont="1" applyFill="1" applyBorder="1" applyAlignment="1">
      <alignment horizontal="left" vertical="center" wrapText="1"/>
    </xf>
    <xf numFmtId="0" fontId="3" fillId="5" borderId="18" xfId="0" applyFont="1" applyFill="1" applyBorder="1" applyAlignment="1">
      <alignment horizontal="center" vertical="center" wrapText="1"/>
    </xf>
    <xf numFmtId="14" fontId="12" fillId="4" borderId="18" xfId="0" applyNumberFormat="1" applyFont="1" applyFill="1" applyBorder="1" applyAlignment="1">
      <alignment horizontal="left" vertical="center"/>
    </xf>
    <xf numFmtId="0" fontId="3" fillId="5" borderId="19" xfId="0" applyFont="1" applyFill="1" applyBorder="1" applyAlignment="1">
      <alignment horizontal="center" vertical="center" wrapText="1"/>
    </xf>
    <xf numFmtId="14" fontId="12" fillId="4" borderId="19" xfId="0" applyNumberFormat="1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14" fontId="12" fillId="4" borderId="22" xfId="0" applyNumberFormat="1" applyFont="1" applyFill="1" applyBorder="1" applyAlignment="1">
      <alignment horizontal="left" vertical="center"/>
    </xf>
    <xf numFmtId="14" fontId="3" fillId="3" borderId="21" xfId="0" applyNumberFormat="1" applyFont="1" applyFill="1" applyBorder="1" applyAlignment="1">
      <alignment vertical="center" wrapText="1"/>
    </xf>
    <xf numFmtId="14" fontId="3" fillId="3" borderId="24" xfId="0" applyNumberFormat="1" applyFont="1" applyFill="1" applyBorder="1" applyAlignment="1">
      <alignment vertical="center" wrapText="1"/>
    </xf>
    <xf numFmtId="14" fontId="3" fillId="3" borderId="20" xfId="0" applyNumberFormat="1" applyFont="1" applyFill="1" applyBorder="1" applyAlignment="1">
      <alignment vertical="center" wrapText="1"/>
    </xf>
    <xf numFmtId="14" fontId="3" fillId="3" borderId="18" xfId="0" applyNumberFormat="1" applyFont="1" applyFill="1" applyBorder="1" applyAlignment="1">
      <alignment vertical="center" wrapText="1"/>
    </xf>
    <xf numFmtId="0" fontId="22" fillId="4" borderId="2" xfId="0" applyFont="1" applyFill="1" applyBorder="1" applyAlignment="1">
      <alignment vertical="center" wrapText="1"/>
    </xf>
    <xf numFmtId="0" fontId="4" fillId="6" borderId="1" xfId="0" applyFont="1" applyFill="1" applyBorder="1"/>
    <xf numFmtId="0" fontId="4" fillId="6" borderId="2" xfId="0" applyFont="1" applyFill="1" applyBorder="1"/>
    <xf numFmtId="0" fontId="2" fillId="6" borderId="2" xfId="0" applyFont="1" applyFill="1" applyBorder="1" applyAlignment="1">
      <alignment vertical="center" wrapText="1"/>
    </xf>
    <xf numFmtId="9" fontId="5" fillId="6" borderId="2" xfId="0" applyNumberFormat="1" applyFont="1" applyFill="1" applyBorder="1" applyAlignment="1">
      <alignment horizontal="center" vertical="center" wrapText="1"/>
    </xf>
    <xf numFmtId="14" fontId="4" fillId="6" borderId="2" xfId="0" applyNumberFormat="1" applyFont="1" applyFill="1" applyBorder="1"/>
    <xf numFmtId="14" fontId="4" fillId="6" borderId="18" xfId="0" applyNumberFormat="1" applyFont="1" applyFill="1" applyBorder="1"/>
    <xf numFmtId="14" fontId="4" fillId="6" borderId="19" xfId="0" applyNumberFormat="1" applyFont="1" applyFill="1" applyBorder="1"/>
    <xf numFmtId="14" fontId="4" fillId="6" borderId="22" xfId="0" applyNumberFormat="1" applyFont="1" applyFill="1" applyBorder="1"/>
    <xf numFmtId="0" fontId="9" fillId="6" borderId="7" xfId="0" applyFont="1" applyFill="1" applyBorder="1" applyAlignment="1">
      <alignment horizontal="center" vertical="center"/>
    </xf>
    <xf numFmtId="0" fontId="4" fillId="6" borderId="0" xfId="0" applyFont="1" applyFill="1"/>
    <xf numFmtId="14" fontId="5" fillId="2" borderId="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vertical="center" wrapText="1"/>
    </xf>
    <xf numFmtId="169" fontId="21" fillId="6" borderId="2" xfId="0" quotePrefix="1" applyNumberFormat="1" applyFont="1" applyFill="1" applyBorder="1" applyAlignment="1">
      <alignment horizontal="center" vertical="center" wrapText="1"/>
    </xf>
    <xf numFmtId="14" fontId="5" fillId="6" borderId="2" xfId="0" applyNumberFormat="1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/>
    </xf>
    <xf numFmtId="0" fontId="9" fillId="6" borderId="7" xfId="0" applyNumberFormat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18" fillId="0" borderId="0" xfId="1" applyFont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14" fontId="3" fillId="3" borderId="18" xfId="0" applyNumberFormat="1" applyFont="1" applyFill="1" applyBorder="1" applyAlignment="1">
      <alignment horizontal="center" vertical="center" wrapText="1"/>
    </xf>
    <xf numFmtId="14" fontId="3" fillId="3" borderId="19" xfId="0" applyNumberFormat="1" applyFont="1" applyFill="1" applyBorder="1" applyAlignment="1">
      <alignment horizontal="center" vertical="center" wrapText="1"/>
    </xf>
    <xf numFmtId="14" fontId="3" fillId="3" borderId="16" xfId="0" applyNumberFormat="1" applyFont="1" applyFill="1" applyBorder="1" applyAlignment="1">
      <alignment horizontal="center" vertical="center" wrapText="1"/>
    </xf>
    <xf numFmtId="14" fontId="3" fillId="3" borderId="20" xfId="0" applyNumberFormat="1" applyFont="1" applyFill="1" applyBorder="1" applyAlignment="1">
      <alignment horizontal="center" vertical="center" wrapText="1"/>
    </xf>
    <xf numFmtId="14" fontId="3" fillId="3" borderId="17" xfId="0" applyNumberFormat="1" applyFont="1" applyFill="1" applyBorder="1" applyAlignment="1">
      <alignment horizontal="center" vertical="center" wrapText="1"/>
    </xf>
    <xf numFmtId="14" fontId="3" fillId="3" borderId="21" xfId="0" applyNumberFormat="1" applyFont="1" applyFill="1" applyBorder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166" fontId="3" fillId="3" borderId="3" xfId="0" applyNumberFormat="1" applyFont="1" applyFill="1" applyBorder="1" applyAlignment="1">
      <alignment horizontal="center" vertical="center" wrapText="1"/>
    </xf>
    <xf numFmtId="14" fontId="3" fillId="3" borderId="25" xfId="0" applyNumberFormat="1" applyFont="1" applyFill="1" applyBorder="1" applyAlignment="1">
      <alignment horizontal="center" vertical="center" wrapText="1"/>
    </xf>
    <xf numFmtId="14" fontId="3" fillId="3" borderId="23" xfId="0" applyNumberFormat="1" applyFont="1" applyFill="1" applyBorder="1" applyAlignment="1">
      <alignment horizontal="center" vertical="center" wrapText="1"/>
    </xf>
    <xf numFmtId="14" fontId="3" fillId="3" borderId="22" xfId="0" applyNumberFormat="1" applyFont="1" applyFill="1" applyBorder="1" applyAlignment="1">
      <alignment horizontal="center" vertical="center" wrapText="1"/>
    </xf>
    <xf numFmtId="0" fontId="6" fillId="4" borderId="2" xfId="0" applyNumberFormat="1" applyFont="1" applyFill="1" applyBorder="1" applyAlignment="1">
      <alignment horizontal="center" vertical="center" wrapText="1"/>
    </xf>
    <xf numFmtId="14" fontId="8" fillId="2" borderId="11" xfId="0" applyNumberFormat="1" applyFont="1" applyFill="1" applyBorder="1" applyAlignment="1">
      <alignment horizontal="center" vertical="center"/>
    </xf>
    <xf numFmtId="14" fontId="8" fillId="2" borderId="13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232">
    <dxf>
      <font>
        <color theme="0"/>
      </font>
    </dxf>
    <dxf>
      <fill>
        <patternFill>
          <bgColor theme="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S&#417;%20&#273;&#7891;%20shop%20t&#7893;ng%20th&#7875;%20c&#225;c%20khu%20v&#7921;c.xlsx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54427</xdr:colOff>
      <xdr:row>0</xdr:row>
      <xdr:rowOff>87086</xdr:rowOff>
    </xdr:from>
    <xdr:to>
      <xdr:col>32</xdr:col>
      <xdr:colOff>164109</xdr:colOff>
      <xdr:row>8</xdr:row>
      <xdr:rowOff>85976</xdr:rowOff>
    </xdr:to>
    <xdr:pic>
      <xdr:nvPicPr>
        <xdr:cNvPr id="2" name="Picture 2" descr="C:\Documents and Settings\vitinh\Desktop\Untitled-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5" t="1413" r="4359" b="92097"/>
        <a:stretch>
          <a:fillRect/>
        </a:stretch>
      </xdr:blipFill>
      <xdr:spPr bwMode="auto">
        <a:xfrm>
          <a:off x="54427" y="87086"/>
          <a:ext cx="23739929" cy="1668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64</xdr:col>
      <xdr:colOff>54430</xdr:colOff>
      <xdr:row>0</xdr:row>
      <xdr:rowOff>0</xdr:rowOff>
    </xdr:from>
    <xdr:to>
      <xdr:col>69</xdr:col>
      <xdr:colOff>318654</xdr:colOff>
      <xdr:row>5</xdr:row>
      <xdr:rowOff>152399</xdr:rowOff>
    </xdr:to>
    <xdr:sp macro="" textlink="">
      <xdr:nvSpPr>
        <xdr:cNvPr id="7" name="Bevel 6">
          <a:hlinkClick xmlns:r="http://schemas.openxmlformats.org/officeDocument/2006/relationships" r:id="rId2" tooltip="Trần Trưởng"/>
        </xdr:cNvPr>
        <xdr:cNvSpPr/>
      </xdr:nvSpPr>
      <xdr:spPr>
        <a:xfrm>
          <a:off x="18636344" y="0"/>
          <a:ext cx="3312224" cy="1240970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Times New Roman" pitchFamily="18" charset="0"/>
              <a:cs typeface="Times New Roman" pitchFamily="18" charset="0"/>
            </a:rPr>
            <a:t>QUAY</a:t>
          </a:r>
          <a:r>
            <a:rPr lang="en-US" sz="2000" baseline="0">
              <a:latin typeface="Times New Roman" pitchFamily="18" charset="0"/>
              <a:cs typeface="Times New Roman" pitchFamily="18" charset="0"/>
            </a:rPr>
            <a:t> LẠI SƠ ĐỒ SHOP CÁC KHU VỰC</a:t>
          </a:r>
          <a:endParaRPr lang="en-US" sz="20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JN48"/>
  <sheetViews>
    <sheetView showGridLines="0" tabSelected="1" view="pageBreakPreview" topLeftCell="A23" zoomScale="70" zoomScaleNormal="70" zoomScaleSheetLayoutView="70" workbookViewId="0">
      <pane xSplit="7" ySplit="3" topLeftCell="J26" activePane="bottomRight" state="frozen"/>
      <selection activeCell="A23" sqref="A23"/>
      <selection pane="topRight" activeCell="H23" sqref="H23"/>
      <selection pane="bottomLeft" activeCell="A26" sqref="A26"/>
      <selection pane="bottomRight" activeCell="Q35" sqref="Q35"/>
    </sheetView>
  </sheetViews>
  <sheetFormatPr defaultColWidth="8.77734375" defaultRowHeight="16.8" outlineLevelRow="1" outlineLevelCol="1" x14ac:dyDescent="0.3"/>
  <cols>
    <col min="1" max="1" width="8.77734375" style="7"/>
    <col min="2" max="5" width="8.77734375" style="7" hidden="1" customWidth="1"/>
    <col min="6" max="6" width="29" style="7" bestFit="1" customWidth="1"/>
    <col min="7" max="7" width="67" style="7" bestFit="1" customWidth="1"/>
    <col min="8" max="8" width="8.77734375" style="7"/>
    <col min="9" max="9" width="11.21875" style="34" customWidth="1"/>
    <col min="10" max="10" width="13.21875" style="34" customWidth="1"/>
    <col min="11" max="11" width="1" style="34" customWidth="1"/>
    <col min="12" max="12" width="12.5546875" style="35" customWidth="1" outlineLevel="1"/>
    <col min="13" max="13" width="12" style="35" customWidth="1" outlineLevel="1"/>
    <col min="14" max="14" width="10.5546875" style="35" customWidth="1" outlineLevel="1"/>
    <col min="15" max="15" width="12.44140625" style="35" customWidth="1" outlineLevel="1"/>
    <col min="16" max="24" width="10.5546875" style="35" customWidth="1" outlineLevel="1"/>
    <col min="25" max="25" width="9.77734375" style="35" customWidth="1" outlineLevel="1"/>
    <col min="26" max="26" width="10.5546875" style="35" customWidth="1" outlineLevel="1"/>
    <col min="27" max="27" width="1.44140625" style="35" customWidth="1" outlineLevel="1"/>
    <col min="28" max="28" width="10.5546875" style="35" customWidth="1" outlineLevel="1"/>
    <col min="29" max="29" width="1.44140625" style="35" customWidth="1" outlineLevel="1"/>
    <col min="30" max="30" width="10.5546875" style="35" customWidth="1" outlineLevel="1"/>
    <col min="31" max="31" width="1" style="35" customWidth="1" outlineLevel="1"/>
    <col min="32" max="32" width="9.77734375" style="35" customWidth="1" outlineLevel="1"/>
    <col min="33" max="33" width="17.77734375" style="34" customWidth="1"/>
    <col min="34" max="63" width="3.44140625" style="7" hidden="1" customWidth="1"/>
    <col min="64" max="64" width="21.44140625" style="29" customWidth="1"/>
    <col min="65" max="16384" width="8.77734375" style="7"/>
  </cols>
  <sheetData>
    <row r="10" spans="1:274" ht="16.5" x14ac:dyDescent="0.35"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274" ht="16.5" x14ac:dyDescent="0.35"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4"/>
      <c r="Z11" s="63"/>
      <c r="AA11" s="63"/>
      <c r="AB11" s="63"/>
      <c r="AC11" s="63"/>
      <c r="AD11" s="63"/>
      <c r="AE11" s="63"/>
      <c r="AF11" s="64"/>
    </row>
    <row r="12" spans="1:274" s="66" customFormat="1" ht="25.5" customHeight="1" x14ac:dyDescent="0.35">
      <c r="A12" s="137" t="s">
        <v>16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137"/>
      <c r="CE12" s="137"/>
      <c r="CF12" s="137"/>
      <c r="CG12" s="137"/>
      <c r="CH12" s="137"/>
      <c r="CI12" s="137"/>
      <c r="CJ12" s="137"/>
      <c r="CK12" s="137"/>
      <c r="CL12" s="137"/>
      <c r="CM12" s="137"/>
      <c r="CN12" s="137"/>
      <c r="CO12" s="137"/>
      <c r="CP12" s="137"/>
      <c r="CQ12" s="137"/>
      <c r="CR12" s="137"/>
      <c r="CS12" s="137"/>
      <c r="CT12" s="137"/>
      <c r="CU12" s="137"/>
      <c r="CV12" s="137"/>
      <c r="CW12" s="137"/>
      <c r="CX12" s="137"/>
      <c r="CY12" s="137"/>
      <c r="CZ12" s="137"/>
      <c r="DA12" s="137"/>
      <c r="DB12" s="137"/>
      <c r="DC12" s="137"/>
      <c r="DD12" s="137"/>
      <c r="DE12" s="137"/>
      <c r="DF12" s="137"/>
      <c r="DG12" s="137"/>
      <c r="DH12" s="137"/>
      <c r="DI12" s="137"/>
      <c r="DJ12" s="137"/>
      <c r="DK12" s="137"/>
      <c r="DL12" s="137"/>
      <c r="DM12" s="137"/>
      <c r="DN12" s="137"/>
      <c r="DO12" s="137"/>
      <c r="DP12" s="137"/>
      <c r="DQ12" s="137"/>
      <c r="DR12" s="137"/>
      <c r="DS12" s="137"/>
      <c r="DT12" s="137"/>
      <c r="DU12" s="137"/>
      <c r="DV12" s="137"/>
      <c r="DW12" s="137"/>
      <c r="DX12" s="137"/>
      <c r="DY12" s="137"/>
      <c r="DZ12" s="137"/>
      <c r="EA12" s="137"/>
      <c r="EB12" s="137"/>
      <c r="EC12" s="137"/>
      <c r="ED12" s="137"/>
      <c r="EE12" s="137"/>
      <c r="EF12" s="137"/>
      <c r="EG12" s="137"/>
      <c r="EH12" s="137"/>
      <c r="EI12" s="137"/>
      <c r="EJ12" s="137"/>
      <c r="EK12" s="137"/>
      <c r="EL12" s="137"/>
      <c r="EM12" s="137"/>
      <c r="EN12" s="137"/>
      <c r="EO12" s="137"/>
      <c r="EP12" s="137"/>
      <c r="EQ12" s="137"/>
      <c r="ER12" s="137"/>
      <c r="ES12" s="137"/>
      <c r="ET12" s="137"/>
      <c r="EU12" s="137"/>
      <c r="EV12" s="137"/>
      <c r="EW12" s="137"/>
      <c r="EX12" s="137"/>
      <c r="EY12" s="137"/>
      <c r="EZ12" s="137"/>
      <c r="FA12" s="137"/>
      <c r="FB12" s="137"/>
      <c r="FC12" s="137"/>
      <c r="FD12" s="137"/>
      <c r="FE12" s="137"/>
      <c r="FF12" s="137"/>
      <c r="FG12" s="137"/>
      <c r="FH12" s="137"/>
      <c r="FI12" s="137"/>
      <c r="FJ12" s="137"/>
      <c r="FK12" s="137"/>
      <c r="FL12" s="137"/>
      <c r="FM12" s="137"/>
      <c r="FN12" s="137"/>
      <c r="FO12" s="137"/>
      <c r="FP12" s="137"/>
      <c r="FQ12" s="137"/>
      <c r="FR12" s="137"/>
      <c r="FS12" s="137"/>
      <c r="FT12" s="137"/>
      <c r="FU12" s="137"/>
      <c r="FV12" s="137"/>
      <c r="FW12" s="137"/>
      <c r="FX12" s="137"/>
      <c r="FY12" s="137"/>
      <c r="FZ12" s="137"/>
      <c r="GA12" s="137"/>
      <c r="GB12" s="137"/>
      <c r="GC12" s="137"/>
      <c r="GD12" s="137"/>
      <c r="GE12" s="137"/>
      <c r="GF12" s="137"/>
      <c r="GG12" s="137"/>
      <c r="GH12" s="137"/>
      <c r="GI12" s="137"/>
      <c r="GJ12" s="137"/>
      <c r="GK12" s="137"/>
      <c r="GL12" s="137"/>
      <c r="GM12" s="137"/>
      <c r="GN12" s="137"/>
      <c r="GO12" s="137"/>
      <c r="GP12" s="137"/>
      <c r="GQ12" s="137"/>
      <c r="GR12" s="137"/>
      <c r="GS12" s="137"/>
      <c r="GT12" s="137"/>
      <c r="GU12" s="137"/>
      <c r="GV12" s="137"/>
      <c r="GW12" s="137"/>
      <c r="GX12" s="137"/>
      <c r="GY12" s="137"/>
      <c r="GZ12" s="137"/>
      <c r="HA12" s="137"/>
      <c r="HB12" s="137"/>
      <c r="HC12" s="137"/>
      <c r="HD12" s="137"/>
      <c r="HE12" s="137"/>
      <c r="HF12" s="137"/>
      <c r="HG12" s="137"/>
      <c r="HH12" s="137"/>
      <c r="HI12" s="137"/>
      <c r="HJ12" s="137"/>
      <c r="HK12" s="137"/>
      <c r="HL12" s="137"/>
      <c r="HM12" s="137"/>
      <c r="HN12" s="137"/>
      <c r="HO12" s="137"/>
      <c r="HP12" s="137"/>
      <c r="HQ12" s="137"/>
      <c r="HR12" s="137"/>
      <c r="HS12" s="137"/>
      <c r="HT12" s="137"/>
      <c r="HU12" s="137"/>
      <c r="HV12" s="137"/>
      <c r="HW12" s="137"/>
      <c r="HX12" s="137"/>
      <c r="HY12" s="137"/>
      <c r="HZ12" s="137"/>
      <c r="IA12" s="137"/>
      <c r="IB12" s="137"/>
      <c r="IC12" s="137"/>
      <c r="ID12" s="137"/>
      <c r="IE12" s="137"/>
      <c r="IF12" s="137"/>
      <c r="IG12" s="137"/>
      <c r="IH12" s="137"/>
      <c r="II12" s="137"/>
      <c r="IJ12" s="137"/>
      <c r="IK12" s="137"/>
      <c r="IL12" s="137"/>
      <c r="IM12" s="137"/>
      <c r="IN12" s="137"/>
      <c r="IO12" s="137"/>
      <c r="IP12" s="137"/>
      <c r="IQ12" s="137"/>
      <c r="IR12" s="137"/>
      <c r="IS12" s="137"/>
      <c r="IT12" s="137"/>
      <c r="IU12" s="137"/>
      <c r="IV12" s="137"/>
      <c r="IW12" s="137"/>
      <c r="IX12" s="137"/>
      <c r="IY12" s="137"/>
      <c r="IZ12" s="137"/>
      <c r="JA12" s="137"/>
      <c r="JB12" s="137"/>
      <c r="JC12" s="137"/>
      <c r="JD12" s="137"/>
      <c r="JE12" s="137"/>
      <c r="JF12" s="137"/>
      <c r="JG12" s="137"/>
      <c r="JH12" s="137"/>
      <c r="JI12" s="137"/>
      <c r="JJ12" s="137"/>
      <c r="JK12" s="137"/>
      <c r="JL12" s="137"/>
      <c r="JM12" s="137"/>
      <c r="JN12" s="137"/>
    </row>
    <row r="13" spans="1:274" s="66" customFormat="1" ht="16.5" x14ac:dyDescent="0.35">
      <c r="B13" s="67"/>
      <c r="C13" s="68"/>
      <c r="D13" s="67"/>
      <c r="F13" s="69"/>
      <c r="G13" s="70"/>
      <c r="H13" s="71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72"/>
      <c r="AH13" s="73"/>
      <c r="AI13" s="73"/>
      <c r="AJ13" s="73"/>
      <c r="AK13" s="74"/>
      <c r="AL13" s="75"/>
      <c r="BL13" s="76"/>
    </row>
    <row r="14" spans="1:274" s="80" customFormat="1" ht="17.25" customHeight="1" x14ac:dyDescent="0.3">
      <c r="A14" s="124" t="s">
        <v>29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8"/>
      <c r="BJ14" s="78"/>
      <c r="BK14" s="78"/>
      <c r="BL14" s="79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124"/>
      <c r="CE14" s="124"/>
      <c r="CF14" s="124"/>
      <c r="CG14" s="124"/>
      <c r="CH14" s="124"/>
      <c r="CI14" s="124"/>
      <c r="CJ14" s="124"/>
      <c r="CK14" s="124"/>
      <c r="CL14" s="124"/>
      <c r="CM14" s="124"/>
      <c r="CN14" s="124"/>
      <c r="CO14" s="124"/>
      <c r="CP14" s="124"/>
      <c r="CQ14" s="124"/>
      <c r="CR14" s="124"/>
      <c r="CS14" s="124"/>
      <c r="CT14" s="124"/>
      <c r="CU14" s="124"/>
      <c r="CV14" s="124"/>
      <c r="CW14" s="124"/>
      <c r="CX14" s="124"/>
      <c r="CY14" s="124"/>
      <c r="CZ14" s="124"/>
      <c r="DA14" s="124"/>
      <c r="DB14" s="124"/>
      <c r="DC14" s="124"/>
      <c r="DD14" s="124"/>
      <c r="DE14" s="124"/>
      <c r="DF14" s="124"/>
      <c r="DG14" s="124"/>
      <c r="DH14" s="124"/>
      <c r="DI14" s="124"/>
      <c r="DJ14" s="124"/>
      <c r="DK14" s="124"/>
      <c r="DL14" s="124"/>
      <c r="DM14" s="124"/>
      <c r="DN14" s="124"/>
      <c r="DO14" s="124"/>
      <c r="DP14" s="124"/>
      <c r="DQ14" s="124"/>
      <c r="DR14" s="124"/>
      <c r="DS14" s="124"/>
      <c r="DT14" s="124"/>
      <c r="DU14" s="124"/>
      <c r="DV14" s="124"/>
      <c r="DW14" s="124"/>
      <c r="DX14" s="124"/>
      <c r="DY14" s="124"/>
      <c r="DZ14" s="124"/>
      <c r="EA14" s="124"/>
      <c r="EB14" s="124"/>
      <c r="EC14" s="124"/>
      <c r="ED14" s="124"/>
      <c r="EE14" s="124"/>
      <c r="EF14" s="124"/>
      <c r="EG14" s="124"/>
      <c r="EH14" s="124"/>
      <c r="EI14" s="124"/>
      <c r="EJ14" s="124"/>
      <c r="EK14" s="124"/>
      <c r="EL14" s="124"/>
      <c r="EM14" s="124"/>
      <c r="EN14" s="124"/>
      <c r="EO14" s="124"/>
      <c r="EP14" s="124"/>
      <c r="EQ14" s="124"/>
      <c r="ER14" s="124"/>
      <c r="ES14" s="124"/>
      <c r="ET14" s="124"/>
      <c r="EU14" s="124"/>
      <c r="EV14" s="124"/>
      <c r="EW14" s="124"/>
      <c r="EX14" s="124"/>
      <c r="EY14" s="124"/>
      <c r="EZ14" s="124"/>
      <c r="FA14" s="124"/>
      <c r="FB14" s="124"/>
      <c r="FC14" s="124"/>
      <c r="FD14" s="124"/>
      <c r="FE14" s="124"/>
      <c r="FF14" s="124"/>
      <c r="FG14" s="124"/>
      <c r="FH14" s="124"/>
      <c r="FI14" s="124"/>
      <c r="FJ14" s="124"/>
      <c r="FK14" s="124"/>
      <c r="FL14" s="124"/>
      <c r="FM14" s="124"/>
      <c r="FN14" s="124"/>
      <c r="FO14" s="124"/>
      <c r="FP14" s="124"/>
      <c r="FQ14" s="124"/>
      <c r="FR14" s="124"/>
      <c r="FS14" s="124"/>
      <c r="FT14" s="124"/>
      <c r="FU14" s="124"/>
      <c r="FV14" s="124"/>
      <c r="FW14" s="124"/>
      <c r="FX14" s="124"/>
      <c r="FY14" s="124"/>
      <c r="FZ14" s="124"/>
      <c r="GA14" s="124"/>
      <c r="GB14" s="124"/>
      <c r="GC14" s="124"/>
      <c r="GD14" s="124"/>
      <c r="GE14" s="124"/>
      <c r="GF14" s="124"/>
      <c r="GG14" s="124"/>
      <c r="GH14" s="124"/>
      <c r="GI14" s="124"/>
      <c r="GJ14" s="124"/>
      <c r="GK14" s="124"/>
      <c r="GL14" s="124"/>
      <c r="GM14" s="124"/>
      <c r="GN14" s="124"/>
      <c r="GO14" s="124"/>
      <c r="GP14" s="124"/>
      <c r="GQ14" s="124"/>
      <c r="GR14" s="124"/>
      <c r="GS14" s="124"/>
      <c r="GT14" s="124"/>
      <c r="GU14" s="124"/>
      <c r="GV14" s="124"/>
      <c r="GW14" s="124"/>
      <c r="GX14" s="124"/>
      <c r="GY14" s="124"/>
      <c r="GZ14" s="124"/>
      <c r="HA14" s="124"/>
      <c r="HB14" s="124"/>
      <c r="HC14" s="124"/>
      <c r="HD14" s="124"/>
      <c r="HE14" s="124"/>
      <c r="HF14" s="124"/>
      <c r="HG14" s="124"/>
      <c r="HH14" s="124"/>
      <c r="HI14" s="124"/>
      <c r="HJ14" s="124"/>
      <c r="HK14" s="124"/>
      <c r="HL14" s="124"/>
      <c r="HM14" s="124"/>
      <c r="HN14" s="124"/>
      <c r="HO14" s="124"/>
      <c r="HP14" s="124"/>
      <c r="HQ14" s="124"/>
      <c r="HR14" s="124"/>
      <c r="HS14" s="124"/>
      <c r="HT14" s="124"/>
      <c r="HU14" s="124"/>
      <c r="HV14" s="124"/>
      <c r="HW14" s="124"/>
      <c r="HX14" s="124"/>
      <c r="HY14" s="124"/>
      <c r="HZ14" s="124"/>
      <c r="IA14" s="124"/>
      <c r="IB14" s="124"/>
      <c r="IC14" s="124"/>
      <c r="ID14" s="124"/>
      <c r="IE14" s="124"/>
      <c r="IF14" s="124"/>
      <c r="IG14" s="124"/>
      <c r="IH14" s="124"/>
      <c r="II14" s="124"/>
      <c r="IJ14" s="124"/>
      <c r="IK14" s="124"/>
      <c r="IL14" s="124"/>
      <c r="IM14" s="124"/>
      <c r="IN14" s="124"/>
      <c r="IO14" s="124"/>
      <c r="IP14" s="124"/>
      <c r="IQ14" s="124"/>
      <c r="IR14" s="124"/>
      <c r="IS14" s="124"/>
      <c r="IT14" s="124"/>
      <c r="IU14" s="124"/>
      <c r="IV14" s="124"/>
      <c r="IW14" s="124"/>
      <c r="IX14" s="124"/>
      <c r="IY14" s="124"/>
      <c r="IZ14" s="124"/>
      <c r="JA14" s="124"/>
      <c r="JB14" s="124"/>
      <c r="JC14" s="124"/>
      <c r="JD14" s="124"/>
      <c r="JE14" s="124"/>
      <c r="JF14" s="124"/>
      <c r="JG14" s="124"/>
      <c r="JH14" s="124"/>
      <c r="JI14" s="124"/>
      <c r="JJ14" s="124"/>
      <c r="JK14" s="124"/>
      <c r="JL14" s="124"/>
      <c r="JM14" s="124"/>
      <c r="JN14" s="124"/>
    </row>
    <row r="15" spans="1:274" s="80" customFormat="1" ht="17.25" customHeight="1" x14ac:dyDescent="0.3">
      <c r="A15" s="124" t="s">
        <v>30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4"/>
      <c r="BD15" s="124"/>
      <c r="BE15" s="124"/>
      <c r="BF15" s="124"/>
      <c r="BG15" s="124"/>
      <c r="BH15" s="124"/>
      <c r="BI15" s="78"/>
      <c r="BJ15" s="78"/>
      <c r="BK15" s="78"/>
      <c r="BL15" s="79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124"/>
      <c r="CE15" s="124"/>
      <c r="CF15" s="124"/>
      <c r="CG15" s="124"/>
      <c r="CH15" s="124"/>
      <c r="CI15" s="124"/>
      <c r="CJ15" s="124"/>
      <c r="CK15" s="124"/>
      <c r="CL15" s="124"/>
      <c r="CM15" s="124"/>
      <c r="CN15" s="124"/>
      <c r="CO15" s="124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  <c r="DB15" s="124"/>
      <c r="DC15" s="124"/>
      <c r="DD15" s="124"/>
      <c r="DE15" s="124"/>
      <c r="DF15" s="124"/>
      <c r="DG15" s="124"/>
      <c r="DH15" s="124"/>
      <c r="DI15" s="124"/>
      <c r="DJ15" s="124"/>
      <c r="DK15" s="124"/>
      <c r="DL15" s="124"/>
      <c r="DM15" s="124"/>
      <c r="DN15" s="124"/>
      <c r="DO15" s="124"/>
      <c r="DP15" s="124"/>
      <c r="DQ15" s="124"/>
      <c r="DR15" s="124"/>
      <c r="DS15" s="124"/>
      <c r="DT15" s="124"/>
      <c r="DU15" s="124"/>
      <c r="DV15" s="124"/>
      <c r="DW15" s="124"/>
      <c r="DX15" s="124"/>
      <c r="DY15" s="124"/>
      <c r="DZ15" s="124"/>
      <c r="EA15" s="124"/>
      <c r="EB15" s="124"/>
      <c r="EC15" s="124"/>
      <c r="ED15" s="124"/>
      <c r="EE15" s="124"/>
      <c r="EF15" s="124"/>
      <c r="EG15" s="124"/>
      <c r="EH15" s="124"/>
      <c r="EI15" s="124"/>
      <c r="EJ15" s="124"/>
      <c r="EK15" s="124"/>
      <c r="EL15" s="124"/>
      <c r="EM15" s="124"/>
      <c r="EN15" s="124"/>
      <c r="EO15" s="124"/>
      <c r="EP15" s="124"/>
      <c r="EQ15" s="124"/>
      <c r="ER15" s="124"/>
      <c r="ES15" s="124"/>
      <c r="ET15" s="124"/>
      <c r="EU15" s="124"/>
      <c r="EV15" s="124"/>
      <c r="EW15" s="124"/>
      <c r="EX15" s="124"/>
      <c r="EY15" s="124"/>
      <c r="EZ15" s="124"/>
      <c r="FA15" s="124"/>
      <c r="FB15" s="124"/>
      <c r="FC15" s="124"/>
      <c r="FD15" s="124"/>
      <c r="FE15" s="124"/>
      <c r="FF15" s="124"/>
      <c r="FG15" s="124"/>
      <c r="FH15" s="124"/>
      <c r="FI15" s="124"/>
      <c r="FJ15" s="124"/>
      <c r="FK15" s="124"/>
      <c r="FL15" s="124"/>
      <c r="FM15" s="124"/>
      <c r="FN15" s="124"/>
      <c r="FO15" s="124"/>
      <c r="FP15" s="124"/>
      <c r="FQ15" s="124"/>
      <c r="FR15" s="124"/>
      <c r="FS15" s="124"/>
      <c r="FT15" s="124"/>
      <c r="FU15" s="124"/>
      <c r="FV15" s="124"/>
      <c r="FW15" s="124"/>
      <c r="FX15" s="124"/>
      <c r="FY15" s="124"/>
      <c r="FZ15" s="124"/>
      <c r="GA15" s="124"/>
      <c r="GB15" s="124"/>
      <c r="GC15" s="124"/>
      <c r="GD15" s="124"/>
      <c r="GE15" s="124"/>
      <c r="GF15" s="124"/>
      <c r="GG15" s="124"/>
      <c r="GH15" s="124"/>
      <c r="GI15" s="124"/>
      <c r="GJ15" s="124"/>
      <c r="GK15" s="124"/>
      <c r="GL15" s="124"/>
      <c r="GM15" s="124"/>
      <c r="GN15" s="124"/>
      <c r="GO15" s="124"/>
      <c r="GP15" s="124"/>
      <c r="GQ15" s="124"/>
      <c r="GR15" s="124"/>
      <c r="GS15" s="124"/>
      <c r="GT15" s="124"/>
      <c r="GU15" s="124"/>
      <c r="GV15" s="124"/>
      <c r="GW15" s="124"/>
      <c r="GX15" s="124"/>
      <c r="GY15" s="124"/>
      <c r="GZ15" s="124"/>
      <c r="HA15" s="124"/>
      <c r="HB15" s="124"/>
      <c r="HC15" s="124"/>
      <c r="HD15" s="124"/>
      <c r="HE15" s="124"/>
      <c r="HF15" s="124"/>
      <c r="HG15" s="124"/>
      <c r="HH15" s="124"/>
      <c r="HI15" s="124"/>
      <c r="HJ15" s="124"/>
      <c r="HK15" s="124"/>
      <c r="HL15" s="124"/>
      <c r="HM15" s="124"/>
      <c r="HN15" s="124"/>
      <c r="HO15" s="124"/>
      <c r="HP15" s="124"/>
      <c r="HQ15" s="124"/>
      <c r="HR15" s="124"/>
      <c r="HS15" s="124"/>
      <c r="HT15" s="124"/>
      <c r="HU15" s="124"/>
      <c r="HV15" s="124"/>
      <c r="HW15" s="124"/>
      <c r="HX15" s="124"/>
      <c r="HY15" s="124"/>
      <c r="HZ15" s="124"/>
      <c r="IA15" s="124"/>
      <c r="IB15" s="124"/>
      <c r="IC15" s="124"/>
      <c r="ID15" s="124"/>
      <c r="IE15" s="124"/>
      <c r="IF15" s="124"/>
      <c r="IG15" s="124"/>
      <c r="IH15" s="124"/>
      <c r="II15" s="124"/>
      <c r="IJ15" s="124"/>
      <c r="IK15" s="124"/>
      <c r="IL15" s="124"/>
      <c r="IM15" s="124"/>
      <c r="IN15" s="124"/>
      <c r="IO15" s="124"/>
      <c r="IP15" s="124"/>
      <c r="IQ15" s="124"/>
      <c r="IR15" s="124"/>
      <c r="IS15" s="124"/>
      <c r="IT15" s="124"/>
      <c r="IU15" s="124"/>
      <c r="IV15" s="124"/>
      <c r="IW15" s="124"/>
      <c r="IX15" s="124"/>
      <c r="IY15" s="124"/>
      <c r="IZ15" s="124"/>
      <c r="JA15" s="124"/>
      <c r="JB15" s="124"/>
      <c r="JC15" s="124"/>
      <c r="JD15" s="124"/>
      <c r="JE15" s="124"/>
      <c r="JF15" s="124"/>
      <c r="JG15" s="124"/>
      <c r="JH15" s="124"/>
      <c r="JI15" s="124"/>
      <c r="JJ15" s="124"/>
      <c r="JK15" s="124"/>
      <c r="JL15" s="124"/>
      <c r="JM15" s="124"/>
      <c r="JN15" s="124"/>
    </row>
    <row r="16" spans="1:274" s="80" customFormat="1" ht="17.25" customHeight="1" x14ac:dyDescent="0.35">
      <c r="A16" s="124" t="s">
        <v>31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4"/>
      <c r="BD16" s="124"/>
      <c r="BE16" s="124"/>
      <c r="BF16" s="124"/>
      <c r="BG16" s="124"/>
      <c r="BH16" s="124"/>
      <c r="BI16" s="78"/>
      <c r="BJ16" s="78"/>
      <c r="BK16" s="78"/>
      <c r="BL16" s="79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124"/>
      <c r="CE16" s="124"/>
      <c r="CF16" s="124"/>
      <c r="CG16" s="124"/>
      <c r="CH16" s="124"/>
      <c r="CI16" s="124"/>
      <c r="CJ16" s="124"/>
      <c r="CK16" s="124"/>
      <c r="CL16" s="124"/>
      <c r="CM16" s="124"/>
      <c r="CN16" s="124"/>
      <c r="CO16" s="124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  <c r="DB16" s="124"/>
      <c r="DC16" s="124"/>
      <c r="DD16" s="124"/>
      <c r="DE16" s="124"/>
      <c r="DF16" s="124"/>
      <c r="DG16" s="124"/>
      <c r="DH16" s="124"/>
      <c r="DI16" s="124"/>
      <c r="DJ16" s="124"/>
      <c r="DK16" s="124"/>
      <c r="DL16" s="124"/>
      <c r="DM16" s="124"/>
      <c r="DN16" s="124"/>
      <c r="DO16" s="124"/>
      <c r="DP16" s="124"/>
      <c r="DQ16" s="124"/>
      <c r="DR16" s="124"/>
      <c r="DS16" s="124"/>
      <c r="DT16" s="124"/>
      <c r="DU16" s="124"/>
      <c r="DV16" s="124"/>
      <c r="DW16" s="124"/>
      <c r="DX16" s="124"/>
      <c r="DY16" s="124"/>
      <c r="DZ16" s="124"/>
      <c r="EA16" s="124"/>
      <c r="EB16" s="124"/>
      <c r="EC16" s="124"/>
      <c r="ED16" s="124"/>
      <c r="EE16" s="124"/>
      <c r="EF16" s="124"/>
      <c r="EG16" s="124"/>
      <c r="EH16" s="124"/>
      <c r="EI16" s="124"/>
      <c r="EJ16" s="124"/>
      <c r="EK16" s="124"/>
      <c r="EL16" s="124"/>
      <c r="EM16" s="124"/>
      <c r="EN16" s="124"/>
      <c r="EO16" s="124"/>
      <c r="EP16" s="124"/>
      <c r="EQ16" s="124"/>
      <c r="ER16" s="124"/>
      <c r="ES16" s="124"/>
      <c r="ET16" s="124"/>
      <c r="EU16" s="124"/>
      <c r="EV16" s="124"/>
      <c r="EW16" s="124"/>
      <c r="EX16" s="124"/>
      <c r="EY16" s="124"/>
      <c r="EZ16" s="124"/>
      <c r="FA16" s="124"/>
      <c r="FB16" s="124"/>
      <c r="FC16" s="124"/>
      <c r="FD16" s="124"/>
      <c r="FE16" s="124"/>
      <c r="FF16" s="124"/>
      <c r="FG16" s="124"/>
      <c r="FH16" s="124"/>
      <c r="FI16" s="124"/>
      <c r="FJ16" s="124"/>
      <c r="FK16" s="124"/>
      <c r="FL16" s="124"/>
      <c r="FM16" s="124"/>
      <c r="FN16" s="124"/>
      <c r="FO16" s="124"/>
      <c r="FP16" s="124"/>
      <c r="FQ16" s="124"/>
      <c r="FR16" s="124"/>
      <c r="FS16" s="124"/>
      <c r="FT16" s="124"/>
      <c r="FU16" s="124"/>
      <c r="FV16" s="124"/>
      <c r="FW16" s="124"/>
      <c r="FX16" s="124"/>
      <c r="FY16" s="124"/>
      <c r="FZ16" s="124"/>
      <c r="GA16" s="124"/>
      <c r="GB16" s="124"/>
      <c r="GC16" s="124"/>
      <c r="GD16" s="124"/>
      <c r="GE16" s="124"/>
      <c r="GF16" s="124"/>
      <c r="GG16" s="124"/>
      <c r="GH16" s="124"/>
      <c r="GI16" s="124"/>
      <c r="GJ16" s="124"/>
      <c r="GK16" s="124"/>
      <c r="GL16" s="124"/>
      <c r="GM16" s="124"/>
      <c r="GN16" s="124"/>
      <c r="GO16" s="124"/>
      <c r="GP16" s="124"/>
      <c r="GQ16" s="124"/>
      <c r="GR16" s="124"/>
      <c r="GS16" s="124"/>
      <c r="GT16" s="124"/>
      <c r="GU16" s="124"/>
      <c r="GV16" s="124"/>
      <c r="GW16" s="124"/>
      <c r="GX16" s="124"/>
      <c r="GY16" s="124"/>
      <c r="GZ16" s="124"/>
      <c r="HA16" s="124"/>
      <c r="HB16" s="124"/>
      <c r="HC16" s="124"/>
      <c r="HD16" s="124"/>
      <c r="HE16" s="124"/>
      <c r="HF16" s="124"/>
      <c r="HG16" s="124"/>
      <c r="HH16" s="124"/>
      <c r="HI16" s="124"/>
      <c r="HJ16" s="124"/>
      <c r="HK16" s="124"/>
      <c r="HL16" s="124"/>
      <c r="HM16" s="124"/>
      <c r="HN16" s="124"/>
      <c r="HO16" s="124"/>
      <c r="HP16" s="124"/>
      <c r="HQ16" s="124"/>
      <c r="HR16" s="124"/>
      <c r="HS16" s="124"/>
      <c r="HT16" s="124"/>
      <c r="HU16" s="124"/>
      <c r="HV16" s="124"/>
      <c r="HW16" s="124"/>
      <c r="HX16" s="124"/>
      <c r="HY16" s="124"/>
      <c r="HZ16" s="124"/>
      <c r="IA16" s="124"/>
      <c r="IB16" s="124"/>
      <c r="IC16" s="124"/>
      <c r="ID16" s="124"/>
      <c r="IE16" s="124"/>
      <c r="IF16" s="124"/>
      <c r="IG16" s="124"/>
      <c r="IH16" s="124"/>
      <c r="II16" s="124"/>
      <c r="IJ16" s="124"/>
      <c r="IK16" s="124"/>
      <c r="IL16" s="124"/>
      <c r="IM16" s="124"/>
      <c r="IN16" s="124"/>
      <c r="IO16" s="124"/>
      <c r="IP16" s="124"/>
      <c r="IQ16" s="124"/>
      <c r="IR16" s="124"/>
      <c r="IS16" s="124"/>
      <c r="IT16" s="124"/>
      <c r="IU16" s="124"/>
      <c r="IV16" s="124"/>
      <c r="IW16" s="124"/>
      <c r="IX16" s="124"/>
      <c r="IY16" s="124"/>
      <c r="IZ16" s="124"/>
      <c r="JA16" s="124"/>
      <c r="JB16" s="124"/>
      <c r="JC16" s="124"/>
      <c r="JD16" s="124"/>
      <c r="JE16" s="124"/>
      <c r="JF16" s="124"/>
      <c r="JG16" s="124"/>
      <c r="JH16" s="124"/>
      <c r="JI16" s="124"/>
      <c r="JJ16" s="124"/>
      <c r="JK16" s="124"/>
      <c r="JL16" s="124"/>
      <c r="JM16" s="124"/>
      <c r="JN16" s="124"/>
    </row>
    <row r="17" spans="1:274" s="80" customFormat="1" ht="17.25" customHeight="1" x14ac:dyDescent="0.3">
      <c r="A17" s="124" t="s">
        <v>32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4"/>
      <c r="BE17" s="124"/>
      <c r="BF17" s="124"/>
      <c r="BG17" s="124"/>
      <c r="BH17" s="124"/>
      <c r="BI17" s="78"/>
      <c r="BJ17" s="78"/>
      <c r="BK17" s="78"/>
      <c r="BL17" s="79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124"/>
      <c r="CE17" s="124"/>
      <c r="CF17" s="124"/>
      <c r="CG17" s="124"/>
      <c r="CH17" s="124"/>
      <c r="CI17" s="124"/>
      <c r="CJ17" s="124"/>
      <c r="CK17" s="124"/>
      <c r="CL17" s="124"/>
      <c r="CM17" s="124"/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4"/>
      <c r="DA17" s="124"/>
      <c r="DB17" s="124"/>
      <c r="DC17" s="124"/>
      <c r="DD17" s="124"/>
      <c r="DE17" s="124"/>
      <c r="DF17" s="124"/>
      <c r="DG17" s="124"/>
      <c r="DH17" s="124"/>
      <c r="DI17" s="124"/>
      <c r="DJ17" s="124"/>
      <c r="DK17" s="124"/>
      <c r="DL17" s="124"/>
      <c r="DM17" s="124"/>
      <c r="DN17" s="124"/>
      <c r="DO17" s="124"/>
      <c r="DP17" s="124"/>
      <c r="DQ17" s="124"/>
      <c r="DR17" s="124"/>
      <c r="DS17" s="124"/>
      <c r="DT17" s="124"/>
      <c r="DU17" s="124"/>
      <c r="DV17" s="124"/>
      <c r="DW17" s="124"/>
      <c r="DX17" s="124"/>
      <c r="DY17" s="124"/>
      <c r="DZ17" s="124"/>
      <c r="EA17" s="124"/>
      <c r="EB17" s="124"/>
      <c r="EC17" s="124"/>
      <c r="ED17" s="124"/>
      <c r="EE17" s="124"/>
      <c r="EF17" s="124"/>
      <c r="EG17" s="124"/>
      <c r="EH17" s="124"/>
      <c r="EI17" s="124"/>
      <c r="EJ17" s="124"/>
      <c r="EK17" s="124"/>
      <c r="EL17" s="124"/>
      <c r="EM17" s="124"/>
      <c r="EN17" s="124"/>
      <c r="EO17" s="124"/>
      <c r="EP17" s="124"/>
      <c r="EQ17" s="124"/>
      <c r="ER17" s="124"/>
      <c r="ES17" s="124"/>
      <c r="ET17" s="124"/>
      <c r="EU17" s="124"/>
      <c r="EV17" s="124"/>
      <c r="EW17" s="124"/>
      <c r="EX17" s="124"/>
      <c r="EY17" s="124"/>
      <c r="EZ17" s="124"/>
      <c r="FA17" s="124"/>
      <c r="FB17" s="124"/>
      <c r="FC17" s="124"/>
      <c r="FD17" s="124"/>
      <c r="FE17" s="124"/>
      <c r="FF17" s="124"/>
      <c r="FG17" s="124"/>
      <c r="FH17" s="124"/>
      <c r="FI17" s="124"/>
      <c r="FJ17" s="124"/>
      <c r="FK17" s="124"/>
      <c r="FL17" s="124"/>
      <c r="FM17" s="124"/>
      <c r="FN17" s="124"/>
      <c r="FO17" s="124"/>
      <c r="FP17" s="124"/>
      <c r="FQ17" s="124"/>
      <c r="FR17" s="124"/>
      <c r="FS17" s="124"/>
      <c r="FT17" s="124"/>
      <c r="FU17" s="124"/>
      <c r="FV17" s="124"/>
      <c r="FW17" s="124"/>
      <c r="FX17" s="124"/>
      <c r="FY17" s="124"/>
      <c r="FZ17" s="124"/>
      <c r="GA17" s="124"/>
      <c r="GB17" s="124"/>
      <c r="GC17" s="124"/>
      <c r="GD17" s="124"/>
      <c r="GE17" s="124"/>
      <c r="GF17" s="124"/>
      <c r="GG17" s="124"/>
      <c r="GH17" s="124"/>
      <c r="GI17" s="124"/>
      <c r="GJ17" s="124"/>
      <c r="GK17" s="124"/>
      <c r="GL17" s="124"/>
      <c r="GM17" s="124"/>
      <c r="GN17" s="124"/>
      <c r="GO17" s="124"/>
      <c r="GP17" s="124"/>
      <c r="GQ17" s="124"/>
      <c r="GR17" s="124"/>
      <c r="GS17" s="124"/>
      <c r="GT17" s="124"/>
      <c r="GU17" s="124"/>
      <c r="GV17" s="124"/>
      <c r="GW17" s="124"/>
      <c r="GX17" s="124"/>
      <c r="GY17" s="124"/>
      <c r="GZ17" s="124"/>
      <c r="HA17" s="124"/>
      <c r="HB17" s="124"/>
      <c r="HC17" s="124"/>
      <c r="HD17" s="124"/>
      <c r="HE17" s="124"/>
      <c r="HF17" s="124"/>
      <c r="HG17" s="124"/>
      <c r="HH17" s="124"/>
      <c r="HI17" s="124"/>
      <c r="HJ17" s="124"/>
      <c r="HK17" s="124"/>
      <c r="HL17" s="124"/>
      <c r="HM17" s="124"/>
      <c r="HN17" s="124"/>
      <c r="HO17" s="124"/>
      <c r="HP17" s="124"/>
      <c r="HQ17" s="124"/>
      <c r="HR17" s="124"/>
      <c r="HS17" s="124"/>
      <c r="HT17" s="124"/>
      <c r="HU17" s="124"/>
      <c r="HV17" s="124"/>
      <c r="HW17" s="124"/>
      <c r="HX17" s="124"/>
      <c r="HY17" s="124"/>
      <c r="HZ17" s="124"/>
      <c r="IA17" s="124"/>
      <c r="IB17" s="124"/>
      <c r="IC17" s="124"/>
      <c r="ID17" s="124"/>
      <c r="IE17" s="124"/>
      <c r="IF17" s="124"/>
      <c r="IG17" s="124"/>
      <c r="IH17" s="124"/>
      <c r="II17" s="124"/>
      <c r="IJ17" s="124"/>
      <c r="IK17" s="124"/>
      <c r="IL17" s="124"/>
      <c r="IM17" s="124"/>
      <c r="IN17" s="124"/>
      <c r="IO17" s="124"/>
      <c r="IP17" s="124"/>
      <c r="IQ17" s="124"/>
      <c r="IR17" s="124"/>
      <c r="IS17" s="124"/>
      <c r="IT17" s="124"/>
      <c r="IU17" s="124"/>
      <c r="IV17" s="124"/>
      <c r="IW17" s="124"/>
      <c r="IX17" s="124"/>
      <c r="IY17" s="124"/>
      <c r="IZ17" s="124"/>
      <c r="JA17" s="124"/>
      <c r="JB17" s="124"/>
      <c r="JC17" s="124"/>
      <c r="JD17" s="124"/>
      <c r="JE17" s="124"/>
      <c r="JF17" s="124"/>
      <c r="JG17" s="124"/>
      <c r="JH17" s="124"/>
      <c r="JI17" s="124"/>
      <c r="JJ17" s="124"/>
      <c r="JK17" s="124"/>
      <c r="JL17" s="124"/>
      <c r="JM17" s="124"/>
      <c r="JN17" s="124"/>
    </row>
    <row r="18" spans="1:274" s="80" customFormat="1" ht="17.25" customHeight="1" x14ac:dyDescent="0.35">
      <c r="A18" s="124" t="s">
        <v>33</v>
      </c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24"/>
      <c r="BG18" s="124"/>
      <c r="BH18" s="124"/>
      <c r="BI18" s="78"/>
      <c r="BJ18" s="78"/>
      <c r="BK18" s="78"/>
      <c r="BL18" s="79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124"/>
      <c r="CE18" s="124"/>
      <c r="CF18" s="124"/>
      <c r="CG18" s="124"/>
      <c r="CH18" s="124"/>
      <c r="CI18" s="124"/>
      <c r="CJ18" s="124"/>
      <c r="CK18" s="124"/>
      <c r="CL18" s="124"/>
      <c r="CM18" s="124"/>
      <c r="CN18" s="124"/>
      <c r="CO18" s="124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4"/>
      <c r="DA18" s="124"/>
      <c r="DB18" s="124"/>
      <c r="DC18" s="124"/>
      <c r="DD18" s="124"/>
      <c r="DE18" s="124"/>
      <c r="DF18" s="124"/>
      <c r="DG18" s="124"/>
      <c r="DH18" s="124"/>
      <c r="DI18" s="124"/>
      <c r="DJ18" s="124"/>
      <c r="DK18" s="124"/>
      <c r="DL18" s="124"/>
      <c r="DM18" s="124"/>
      <c r="DN18" s="124"/>
      <c r="DO18" s="124"/>
      <c r="DP18" s="124"/>
      <c r="DQ18" s="124"/>
      <c r="DR18" s="124"/>
      <c r="DS18" s="124"/>
      <c r="DT18" s="124"/>
      <c r="DU18" s="124"/>
      <c r="DV18" s="124"/>
      <c r="DW18" s="124"/>
      <c r="DX18" s="124"/>
      <c r="DY18" s="124"/>
      <c r="DZ18" s="124"/>
      <c r="EA18" s="124"/>
      <c r="EB18" s="124"/>
      <c r="EC18" s="124"/>
      <c r="ED18" s="124"/>
      <c r="EE18" s="124"/>
      <c r="EF18" s="124"/>
      <c r="EG18" s="124"/>
      <c r="EH18" s="124"/>
      <c r="EI18" s="124"/>
      <c r="EJ18" s="124"/>
      <c r="EK18" s="124"/>
      <c r="EL18" s="124"/>
      <c r="EM18" s="124"/>
      <c r="EN18" s="124"/>
      <c r="EO18" s="124"/>
      <c r="EP18" s="124"/>
      <c r="EQ18" s="124"/>
      <c r="ER18" s="124"/>
      <c r="ES18" s="124"/>
      <c r="ET18" s="124"/>
      <c r="EU18" s="124"/>
      <c r="EV18" s="124"/>
      <c r="EW18" s="124"/>
      <c r="EX18" s="124"/>
      <c r="EY18" s="124"/>
      <c r="EZ18" s="124"/>
      <c r="FA18" s="124"/>
      <c r="FB18" s="124"/>
      <c r="FC18" s="124"/>
      <c r="FD18" s="124"/>
      <c r="FE18" s="124"/>
      <c r="FF18" s="124"/>
      <c r="FG18" s="124"/>
      <c r="FH18" s="124"/>
      <c r="FI18" s="124"/>
      <c r="FJ18" s="124"/>
      <c r="FK18" s="124"/>
      <c r="FL18" s="124"/>
      <c r="FM18" s="124"/>
      <c r="FN18" s="124"/>
      <c r="FO18" s="124"/>
      <c r="FP18" s="124"/>
      <c r="FQ18" s="124"/>
      <c r="FR18" s="124"/>
      <c r="FS18" s="124"/>
      <c r="FT18" s="124"/>
      <c r="FU18" s="124"/>
      <c r="FV18" s="124"/>
      <c r="FW18" s="124"/>
      <c r="FX18" s="124"/>
      <c r="FY18" s="124"/>
      <c r="FZ18" s="124"/>
      <c r="GA18" s="124"/>
      <c r="GB18" s="124"/>
      <c r="GC18" s="124"/>
      <c r="GD18" s="124"/>
      <c r="GE18" s="124"/>
      <c r="GF18" s="124"/>
      <c r="GG18" s="124"/>
      <c r="GH18" s="124"/>
      <c r="GI18" s="124"/>
      <c r="GJ18" s="124"/>
      <c r="GK18" s="124"/>
      <c r="GL18" s="124"/>
      <c r="GM18" s="124"/>
      <c r="GN18" s="124"/>
      <c r="GO18" s="124"/>
      <c r="GP18" s="124"/>
      <c r="GQ18" s="124"/>
      <c r="GR18" s="124"/>
      <c r="GS18" s="124"/>
      <c r="GT18" s="124"/>
      <c r="GU18" s="124"/>
      <c r="GV18" s="124"/>
      <c r="GW18" s="124"/>
      <c r="GX18" s="124"/>
      <c r="GY18" s="124"/>
      <c r="GZ18" s="124"/>
      <c r="HA18" s="124"/>
      <c r="HB18" s="124"/>
      <c r="HC18" s="124"/>
      <c r="HD18" s="124"/>
      <c r="HE18" s="124"/>
      <c r="HF18" s="124"/>
      <c r="HG18" s="124"/>
      <c r="HH18" s="124"/>
      <c r="HI18" s="124"/>
      <c r="HJ18" s="124"/>
      <c r="HK18" s="124"/>
      <c r="HL18" s="124"/>
      <c r="HM18" s="124"/>
      <c r="HN18" s="124"/>
      <c r="HO18" s="124"/>
      <c r="HP18" s="124"/>
      <c r="HQ18" s="124"/>
      <c r="HR18" s="124"/>
      <c r="HS18" s="124"/>
      <c r="HT18" s="124"/>
      <c r="HU18" s="124"/>
      <c r="HV18" s="124"/>
      <c r="HW18" s="124"/>
      <c r="HX18" s="124"/>
      <c r="HY18" s="124"/>
      <c r="HZ18" s="124"/>
      <c r="IA18" s="124"/>
      <c r="IB18" s="124"/>
      <c r="IC18" s="124"/>
      <c r="ID18" s="124"/>
      <c r="IE18" s="124"/>
      <c r="IF18" s="124"/>
      <c r="IG18" s="124"/>
      <c r="IH18" s="124"/>
      <c r="II18" s="124"/>
      <c r="IJ18" s="124"/>
      <c r="IK18" s="124"/>
      <c r="IL18" s="124"/>
      <c r="IM18" s="124"/>
      <c r="IN18" s="124"/>
      <c r="IO18" s="124"/>
      <c r="IP18" s="124"/>
      <c r="IQ18" s="124"/>
      <c r="IR18" s="124"/>
      <c r="IS18" s="124"/>
      <c r="IT18" s="124"/>
      <c r="IU18" s="124"/>
      <c r="IV18" s="124"/>
      <c r="IW18" s="124"/>
      <c r="IX18" s="124"/>
      <c r="IY18" s="124"/>
      <c r="IZ18" s="124"/>
      <c r="JA18" s="124"/>
      <c r="JB18" s="124"/>
      <c r="JC18" s="124"/>
      <c r="JD18" s="124"/>
      <c r="JE18" s="124"/>
      <c r="JF18" s="124"/>
      <c r="JG18" s="124"/>
      <c r="JH18" s="124"/>
      <c r="JI18" s="124"/>
      <c r="JJ18" s="124"/>
      <c r="JK18" s="124"/>
      <c r="JL18" s="124"/>
      <c r="JM18" s="124"/>
      <c r="JN18" s="124"/>
    </row>
    <row r="20" spans="1:274" ht="17.100000000000001" thickBot="1" x14ac:dyDescent="0.4"/>
    <row r="21" spans="1:274" s="6" customFormat="1" ht="27.6" customHeight="1" thickTop="1" thickBot="1" x14ac:dyDescent="0.4">
      <c r="G21" s="46"/>
      <c r="H21" s="48"/>
      <c r="I21" s="47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42" t="s">
        <v>34</v>
      </c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4" t="s">
        <v>27</v>
      </c>
      <c r="AY21" s="43"/>
      <c r="AZ21" s="43"/>
      <c r="BA21" s="43"/>
      <c r="BB21" s="43"/>
      <c r="BC21" s="43"/>
      <c r="BD21" s="143">
        <f ca="1">+TODAY()</f>
        <v>43583</v>
      </c>
      <c r="BE21" s="143"/>
      <c r="BF21" s="143"/>
      <c r="BG21" s="143"/>
      <c r="BH21" s="143"/>
      <c r="BI21" s="143"/>
      <c r="BJ21" s="143"/>
      <c r="BK21" s="144"/>
      <c r="BL21" s="45">
        <f ca="1">+NOW()</f>
        <v>43583.471539120372</v>
      </c>
      <c r="BM21" s="41"/>
    </row>
    <row r="22" spans="1:274" ht="17.55" hidden="1" thickTop="1" thickBot="1" x14ac:dyDescent="0.4"/>
    <row r="23" spans="1:274" s="2" customFormat="1" ht="29.1" customHeight="1" thickTop="1" x14ac:dyDescent="0.25">
      <c r="A23" s="148" t="s">
        <v>2</v>
      </c>
      <c r="B23" s="1"/>
      <c r="C23" s="1"/>
      <c r="D23" s="1"/>
      <c r="E23" s="1"/>
      <c r="F23" s="121" t="s">
        <v>42</v>
      </c>
      <c r="G23" s="125" t="s">
        <v>3</v>
      </c>
      <c r="H23" s="127" t="s">
        <v>4</v>
      </c>
      <c r="I23" s="129" t="s">
        <v>5</v>
      </c>
      <c r="J23" s="129" t="s">
        <v>6</v>
      </c>
      <c r="K23" s="97"/>
      <c r="L23" s="139" t="s">
        <v>20</v>
      </c>
      <c r="M23" s="140"/>
      <c r="N23" s="129"/>
      <c r="O23" s="129"/>
      <c r="P23" s="129"/>
      <c r="Q23" s="129"/>
      <c r="R23" s="129"/>
      <c r="S23" s="129"/>
      <c r="T23" s="129"/>
      <c r="U23" s="129"/>
      <c r="V23" s="129" t="s">
        <v>21</v>
      </c>
      <c r="W23" s="129"/>
      <c r="X23" s="129"/>
      <c r="Y23" s="129"/>
      <c r="Z23" s="129" t="s">
        <v>7</v>
      </c>
      <c r="AA23" s="129"/>
      <c r="AB23" s="129"/>
      <c r="AC23" s="129"/>
      <c r="AD23" s="129"/>
      <c r="AE23" s="129"/>
      <c r="AF23" s="129"/>
      <c r="AG23" s="129" t="s">
        <v>8</v>
      </c>
      <c r="AH23" s="138" t="s">
        <v>9</v>
      </c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46" t="s">
        <v>10</v>
      </c>
    </row>
    <row r="24" spans="1:274" s="2" customFormat="1" ht="14.55" customHeight="1" x14ac:dyDescent="0.25">
      <c r="A24" s="149"/>
      <c r="B24" s="3"/>
      <c r="C24" s="3"/>
      <c r="D24" s="3"/>
      <c r="E24" s="3"/>
      <c r="F24" s="122"/>
      <c r="G24" s="126"/>
      <c r="H24" s="128"/>
      <c r="I24" s="130"/>
      <c r="J24" s="130"/>
      <c r="K24" s="99"/>
      <c r="L24" s="141" t="s">
        <v>22</v>
      </c>
      <c r="M24" s="132"/>
      <c r="N24" s="131" t="s">
        <v>23</v>
      </c>
      <c r="O24" s="132"/>
      <c r="P24" s="131" t="s">
        <v>24</v>
      </c>
      <c r="Q24" s="132"/>
      <c r="R24" s="131" t="s">
        <v>25</v>
      </c>
      <c r="S24" s="132"/>
      <c r="T24" s="131" t="s">
        <v>26</v>
      </c>
      <c r="U24" s="132"/>
      <c r="V24" s="130" t="s">
        <v>23</v>
      </c>
      <c r="W24" s="130" t="s">
        <v>24</v>
      </c>
      <c r="X24" s="130" t="s">
        <v>25</v>
      </c>
      <c r="Y24" s="130" t="s">
        <v>26</v>
      </c>
      <c r="Z24" s="130" t="s">
        <v>23</v>
      </c>
      <c r="AA24" s="133"/>
      <c r="AB24" s="132" t="s">
        <v>24</v>
      </c>
      <c r="AC24" s="133"/>
      <c r="AD24" s="141" t="s">
        <v>25</v>
      </c>
      <c r="AE24" s="135"/>
      <c r="AF24" s="130" t="s">
        <v>26</v>
      </c>
      <c r="AG24" s="130"/>
      <c r="AH24" s="145" t="s">
        <v>11</v>
      </c>
      <c r="AI24" s="145"/>
      <c r="AJ24" s="145"/>
      <c r="AK24" s="145"/>
      <c r="AL24" s="145"/>
      <c r="AM24" s="145"/>
      <c r="AN24" s="145"/>
      <c r="AO24" s="145" t="s">
        <v>12</v>
      </c>
      <c r="AP24" s="145"/>
      <c r="AQ24" s="145"/>
      <c r="AR24" s="145"/>
      <c r="AS24" s="145"/>
      <c r="AT24" s="145"/>
      <c r="AU24" s="145"/>
      <c r="AV24" s="145" t="s">
        <v>13</v>
      </c>
      <c r="AW24" s="145"/>
      <c r="AX24" s="145"/>
      <c r="AY24" s="145"/>
      <c r="AZ24" s="145"/>
      <c r="BA24" s="145"/>
      <c r="BB24" s="145"/>
      <c r="BC24" s="145" t="s">
        <v>14</v>
      </c>
      <c r="BD24" s="145"/>
      <c r="BE24" s="145"/>
      <c r="BF24" s="145"/>
      <c r="BG24" s="145"/>
      <c r="BH24" s="145"/>
      <c r="BI24" s="145"/>
      <c r="BJ24" s="145" t="s">
        <v>15</v>
      </c>
      <c r="BK24" s="145"/>
      <c r="BL24" s="147"/>
    </row>
    <row r="25" spans="1:274" s="2" customFormat="1" ht="24.75" customHeight="1" x14ac:dyDescent="0.25">
      <c r="A25" s="149"/>
      <c r="B25" s="3"/>
      <c r="C25" s="3"/>
      <c r="D25" s="3"/>
      <c r="E25" s="3"/>
      <c r="F25" s="123"/>
      <c r="G25" s="126"/>
      <c r="H25" s="128"/>
      <c r="I25" s="130"/>
      <c r="J25" s="130"/>
      <c r="K25" s="98"/>
      <c r="L25" s="96" t="s">
        <v>40</v>
      </c>
      <c r="M25" s="84" t="s">
        <v>41</v>
      </c>
      <c r="N25" s="83" t="s">
        <v>40</v>
      </c>
      <c r="O25" s="58" t="s">
        <v>41</v>
      </c>
      <c r="P25" s="83" t="s">
        <v>40</v>
      </c>
      <c r="Q25" s="58" t="s">
        <v>41</v>
      </c>
      <c r="R25" s="83" t="s">
        <v>40</v>
      </c>
      <c r="S25" s="58" t="s">
        <v>41</v>
      </c>
      <c r="T25" s="83" t="s">
        <v>40</v>
      </c>
      <c r="U25" s="58" t="s">
        <v>41</v>
      </c>
      <c r="V25" s="130"/>
      <c r="W25" s="130"/>
      <c r="X25" s="130"/>
      <c r="Y25" s="130"/>
      <c r="Z25" s="130"/>
      <c r="AA25" s="134"/>
      <c r="AB25" s="132"/>
      <c r="AC25" s="134"/>
      <c r="AD25" s="141"/>
      <c r="AE25" s="136"/>
      <c r="AF25" s="130"/>
      <c r="AG25" s="130"/>
      <c r="AH25" s="4">
        <f>+I21</f>
        <v>0</v>
      </c>
      <c r="AI25" s="4">
        <f>+AH25+1</f>
        <v>1</v>
      </c>
      <c r="AJ25" s="4">
        <f t="shared" ref="AJ25:BK25" si="0">+AI25+1</f>
        <v>2</v>
      </c>
      <c r="AK25" s="4">
        <f t="shared" si="0"/>
        <v>3</v>
      </c>
      <c r="AL25" s="4">
        <f t="shared" si="0"/>
        <v>4</v>
      </c>
      <c r="AM25" s="4">
        <f t="shared" si="0"/>
        <v>5</v>
      </c>
      <c r="AN25" s="4">
        <f t="shared" si="0"/>
        <v>6</v>
      </c>
      <c r="AO25" s="4">
        <f t="shared" si="0"/>
        <v>7</v>
      </c>
      <c r="AP25" s="4">
        <f t="shared" si="0"/>
        <v>8</v>
      </c>
      <c r="AQ25" s="4">
        <f t="shared" si="0"/>
        <v>9</v>
      </c>
      <c r="AR25" s="4">
        <f t="shared" si="0"/>
        <v>10</v>
      </c>
      <c r="AS25" s="4">
        <f t="shared" si="0"/>
        <v>11</v>
      </c>
      <c r="AT25" s="4">
        <f t="shared" si="0"/>
        <v>12</v>
      </c>
      <c r="AU25" s="4">
        <f t="shared" si="0"/>
        <v>13</v>
      </c>
      <c r="AV25" s="4">
        <f t="shared" si="0"/>
        <v>14</v>
      </c>
      <c r="AW25" s="4">
        <f t="shared" si="0"/>
        <v>15</v>
      </c>
      <c r="AX25" s="4">
        <f t="shared" si="0"/>
        <v>16</v>
      </c>
      <c r="AY25" s="4">
        <f t="shared" si="0"/>
        <v>17</v>
      </c>
      <c r="AZ25" s="4">
        <f t="shared" si="0"/>
        <v>18</v>
      </c>
      <c r="BA25" s="4">
        <f t="shared" si="0"/>
        <v>19</v>
      </c>
      <c r="BB25" s="4">
        <f t="shared" si="0"/>
        <v>20</v>
      </c>
      <c r="BC25" s="4">
        <f t="shared" si="0"/>
        <v>21</v>
      </c>
      <c r="BD25" s="4">
        <f t="shared" si="0"/>
        <v>22</v>
      </c>
      <c r="BE25" s="4">
        <f t="shared" si="0"/>
        <v>23</v>
      </c>
      <c r="BF25" s="4">
        <f t="shared" si="0"/>
        <v>24</v>
      </c>
      <c r="BG25" s="4">
        <f t="shared" si="0"/>
        <v>25</v>
      </c>
      <c r="BH25" s="4">
        <f t="shared" si="0"/>
        <v>26</v>
      </c>
      <c r="BI25" s="4">
        <f t="shared" si="0"/>
        <v>27</v>
      </c>
      <c r="BJ25" s="4">
        <f t="shared" si="0"/>
        <v>28</v>
      </c>
      <c r="BK25" s="4">
        <f t="shared" si="0"/>
        <v>29</v>
      </c>
      <c r="BL25" s="147"/>
      <c r="BM25" s="5"/>
      <c r="BN25" s="5"/>
      <c r="BO25" s="5"/>
      <c r="BP25" s="5"/>
      <c r="BQ25" s="5"/>
      <c r="BR25" s="5"/>
    </row>
    <row r="26" spans="1:274" s="57" customFormat="1" ht="55.35" customHeight="1" x14ac:dyDescent="0.35">
      <c r="A26" s="49"/>
      <c r="B26" s="50"/>
      <c r="C26" s="50"/>
      <c r="D26" s="50"/>
      <c r="E26" s="50"/>
      <c r="F26" s="50"/>
      <c r="G26" s="51" t="s">
        <v>39</v>
      </c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90"/>
      <c r="AB26" s="92"/>
      <c r="AC26" s="90"/>
      <c r="AD26" s="94"/>
      <c r="AE26" s="92"/>
      <c r="AF26" s="52"/>
      <c r="AG26" s="52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4"/>
      <c r="BM26" s="55"/>
      <c r="BN26" s="55"/>
      <c r="BO26" s="55"/>
      <c r="BP26" s="56"/>
      <c r="BQ26" s="56"/>
      <c r="BR26" s="56"/>
    </row>
    <row r="27" spans="1:274" s="39" customFormat="1" ht="38.549999999999997" customHeight="1" x14ac:dyDescent="0.3">
      <c r="A27" s="40" t="s">
        <v>17</v>
      </c>
      <c r="B27" s="36"/>
      <c r="C27" s="36"/>
      <c r="D27" s="36"/>
      <c r="E27" s="36"/>
      <c r="F27" s="36"/>
      <c r="G27" s="36" t="s">
        <v>18</v>
      </c>
      <c r="H27" s="89" t="str">
        <f>+IF(AG27&lt;&gt;0,100%,"")</f>
        <v/>
      </c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91"/>
      <c r="AB27" s="93"/>
      <c r="AC27" s="91"/>
      <c r="AD27" s="95"/>
      <c r="AE27" s="93"/>
      <c r="AF27" s="85"/>
      <c r="AG27" s="85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7"/>
      <c r="BM27" s="88"/>
    </row>
    <row r="28" spans="1:274" s="110" customFormat="1" ht="16.5" x14ac:dyDescent="0.25">
      <c r="A28" s="101"/>
      <c r="B28" s="102"/>
      <c r="C28" s="102"/>
      <c r="D28" s="102"/>
      <c r="E28" s="102"/>
      <c r="F28" s="102"/>
      <c r="G28" s="103" t="s">
        <v>35</v>
      </c>
      <c r="H28" s="104" t="str">
        <f>+IF(AG28&lt;&gt;0,100%,"")</f>
        <v/>
      </c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6"/>
      <c r="AB28" s="107"/>
      <c r="AC28" s="106"/>
      <c r="AD28" s="108"/>
      <c r="AE28" s="107"/>
      <c r="AF28" s="105"/>
      <c r="AG28" s="105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9" t="str">
        <f t="shared" ref="BL28" si="1">+IF(AG28&lt;&gt;0,"A","")</f>
        <v/>
      </c>
    </row>
    <row r="29" spans="1:274" s="8" customFormat="1" ht="71.099999999999994" customHeight="1" outlineLevel="1" x14ac:dyDescent="0.3">
      <c r="A29" s="9">
        <v>1</v>
      </c>
      <c r="B29" s="10" t="s">
        <v>0</v>
      </c>
      <c r="C29" s="10"/>
      <c r="D29" s="10" t="s">
        <v>1</v>
      </c>
      <c r="E29" s="10">
        <v>2</v>
      </c>
      <c r="F29" s="100" t="s">
        <v>43</v>
      </c>
      <c r="G29" s="62" t="s">
        <v>36</v>
      </c>
      <c r="H29" s="30"/>
      <c r="I29" s="82">
        <v>43560</v>
      </c>
      <c r="J29" s="16">
        <v>43563</v>
      </c>
      <c r="K29" s="16"/>
      <c r="L29" s="16" t="s">
        <v>56</v>
      </c>
      <c r="M29" s="16">
        <v>43564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 t="b">
        <f>+IF($L29="A",$M29,IF($N29="A",$O29,IF($P29="A",$Q29,IF($R29="A",$S29,IF($T29="A",$U29)))))</f>
        <v>0</v>
      </c>
      <c r="AH29" s="13"/>
      <c r="AI29" s="13"/>
      <c r="AJ29" s="13"/>
      <c r="AK29" s="13"/>
      <c r="AL29" s="15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81"/>
    </row>
    <row r="30" spans="1:274" s="8" customFormat="1" ht="71.099999999999994" customHeight="1" outlineLevel="1" x14ac:dyDescent="0.3">
      <c r="A30" s="9">
        <f>+A29+1</f>
        <v>2</v>
      </c>
      <c r="B30" s="10" t="s">
        <v>0</v>
      </c>
      <c r="C30" s="10"/>
      <c r="D30" s="10" t="s">
        <v>1</v>
      </c>
      <c r="E30" s="10">
        <v>2</v>
      </c>
      <c r="F30" s="100" t="s">
        <v>44</v>
      </c>
      <c r="G30" s="62" t="s">
        <v>37</v>
      </c>
      <c r="H30" s="30"/>
      <c r="I30" s="82">
        <v>43560</v>
      </c>
      <c r="J30" s="16">
        <v>43563</v>
      </c>
      <c r="K30" s="16"/>
      <c r="L30" s="16" t="s">
        <v>56</v>
      </c>
      <c r="M30" s="16">
        <v>43564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 t="b">
        <f t="shared" ref="AG30:AG46" si="2">+IF($L30="A",$M30,IF($N30="A",$O30,IF($P30="A",$Q30,IF($R30="A",$S30,IF($T30="A",$U30)))))</f>
        <v>0</v>
      </c>
      <c r="AH30" s="13"/>
      <c r="AI30" s="13"/>
      <c r="AJ30" s="13"/>
      <c r="AK30" s="13"/>
      <c r="AL30" s="15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81"/>
    </row>
    <row r="31" spans="1:274" s="8" customFormat="1" ht="71.099999999999994" customHeight="1" outlineLevel="1" x14ac:dyDescent="0.3">
      <c r="A31" s="9">
        <f t="shared" ref="A31:A35" si="3">+A30+1</f>
        <v>3</v>
      </c>
      <c r="B31" s="10" t="s">
        <v>0</v>
      </c>
      <c r="C31" s="10"/>
      <c r="D31" s="10" t="s">
        <v>1</v>
      </c>
      <c r="E31" s="10">
        <v>2</v>
      </c>
      <c r="F31" s="100" t="s">
        <v>45</v>
      </c>
      <c r="G31" s="62" t="s">
        <v>37</v>
      </c>
      <c r="H31" s="30"/>
      <c r="I31" s="82">
        <v>43560</v>
      </c>
      <c r="J31" s="16">
        <v>43563</v>
      </c>
      <c r="K31" s="16"/>
      <c r="L31" s="16" t="s">
        <v>56</v>
      </c>
      <c r="M31" s="16">
        <v>43564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 t="b">
        <f t="shared" si="2"/>
        <v>0</v>
      </c>
      <c r="AH31" s="13"/>
      <c r="AI31" s="13"/>
      <c r="AJ31" s="13"/>
      <c r="AK31" s="13"/>
      <c r="AL31" s="142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61"/>
    </row>
    <row r="32" spans="1:274" s="120" customFormat="1" outlineLevel="1" x14ac:dyDescent="0.3">
      <c r="A32" s="113"/>
      <c r="B32" s="114" t="s">
        <v>0</v>
      </c>
      <c r="C32" s="114"/>
      <c r="D32" s="114" t="s">
        <v>1</v>
      </c>
      <c r="E32" s="114">
        <v>2</v>
      </c>
      <c r="F32" s="115"/>
      <c r="G32" s="103" t="s">
        <v>38</v>
      </c>
      <c r="H32" s="104"/>
      <c r="I32" s="116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6" t="b">
        <f t="shared" si="2"/>
        <v>0</v>
      </c>
      <c r="AH32" s="118"/>
      <c r="AI32" s="118"/>
      <c r="AJ32" s="118"/>
      <c r="AK32" s="118"/>
      <c r="AL32" s="142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  <c r="BI32" s="114"/>
      <c r="BJ32" s="114"/>
      <c r="BK32" s="114"/>
      <c r="BL32" s="119"/>
    </row>
    <row r="33" spans="1:64" s="8" customFormat="1" ht="62.1" customHeight="1" outlineLevel="1" x14ac:dyDescent="0.3">
      <c r="A33" s="9">
        <f t="shared" si="3"/>
        <v>1</v>
      </c>
      <c r="B33" s="10" t="s">
        <v>0</v>
      </c>
      <c r="C33" s="10"/>
      <c r="D33" s="10" t="s">
        <v>1</v>
      </c>
      <c r="E33" s="10">
        <v>2</v>
      </c>
      <c r="F33" s="100" t="s">
        <v>46</v>
      </c>
      <c r="G33" s="62" t="s">
        <v>36</v>
      </c>
      <c r="H33" s="30"/>
      <c r="I33" s="82">
        <v>43560</v>
      </c>
      <c r="J33" s="16">
        <v>43563</v>
      </c>
      <c r="K33" s="16"/>
      <c r="L33" s="16" t="s">
        <v>56</v>
      </c>
      <c r="M33" s="16">
        <v>43564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 t="b">
        <f t="shared" si="2"/>
        <v>0</v>
      </c>
      <c r="AH33" s="13"/>
      <c r="AI33" s="13"/>
      <c r="AJ33" s="13"/>
      <c r="AK33" s="13"/>
      <c r="AL33" s="15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81"/>
    </row>
    <row r="34" spans="1:64" s="8" customFormat="1" ht="62.1" customHeight="1" outlineLevel="1" x14ac:dyDescent="0.3">
      <c r="A34" s="9">
        <f t="shared" si="3"/>
        <v>2</v>
      </c>
      <c r="B34" s="10"/>
      <c r="C34" s="10"/>
      <c r="D34" s="10"/>
      <c r="E34" s="10"/>
      <c r="F34" s="100" t="s">
        <v>47</v>
      </c>
      <c r="G34" s="62" t="s">
        <v>37</v>
      </c>
      <c r="H34" s="30"/>
      <c r="I34" s="82">
        <v>43560</v>
      </c>
      <c r="J34" s="16">
        <v>43563</v>
      </c>
      <c r="K34" s="16"/>
      <c r="L34" s="16" t="s">
        <v>56</v>
      </c>
      <c r="M34" s="16">
        <v>43564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 t="b">
        <f t="shared" si="2"/>
        <v>0</v>
      </c>
      <c r="AH34" s="13"/>
      <c r="AI34" s="13"/>
      <c r="AJ34" s="13"/>
      <c r="AK34" s="13"/>
      <c r="AL34" s="15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81"/>
    </row>
    <row r="35" spans="1:64" s="8" customFormat="1" ht="62.1" customHeight="1" outlineLevel="1" x14ac:dyDescent="0.3">
      <c r="A35" s="9">
        <f t="shared" si="3"/>
        <v>3</v>
      </c>
      <c r="B35" s="10"/>
      <c r="C35" s="10"/>
      <c r="D35" s="10"/>
      <c r="E35" s="10"/>
      <c r="F35" s="100" t="s">
        <v>48</v>
      </c>
      <c r="G35" s="62" t="s">
        <v>37</v>
      </c>
      <c r="H35" s="30"/>
      <c r="I35" s="82">
        <v>43560</v>
      </c>
      <c r="J35" s="16">
        <v>43563</v>
      </c>
      <c r="K35" s="16"/>
      <c r="L35" s="16" t="s">
        <v>56</v>
      </c>
      <c r="M35" s="16">
        <v>43564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 t="b">
        <f t="shared" si="2"/>
        <v>0</v>
      </c>
      <c r="AH35" s="13"/>
      <c r="AI35" s="13"/>
      <c r="AJ35" s="13"/>
      <c r="AK35" s="13"/>
      <c r="AL35" s="15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81"/>
    </row>
    <row r="36" spans="1:64" s="39" customFormat="1" ht="38.549999999999997" customHeight="1" x14ac:dyDescent="0.3">
      <c r="A36" s="40" t="s">
        <v>28</v>
      </c>
      <c r="B36" s="36"/>
      <c r="C36" s="36"/>
      <c r="D36" s="36"/>
      <c r="E36" s="36"/>
      <c r="F36" s="36"/>
      <c r="G36" s="36" t="s">
        <v>19</v>
      </c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111"/>
      <c r="W36" s="111"/>
      <c r="X36" s="38"/>
      <c r="Y36" s="111"/>
      <c r="Z36" s="38"/>
      <c r="AA36" s="38"/>
      <c r="AB36" s="111"/>
      <c r="AC36" s="111"/>
      <c r="AD36" s="111"/>
      <c r="AE36" s="111"/>
      <c r="AF36" s="111"/>
      <c r="AG36" s="16" t="b">
        <f t="shared" si="2"/>
        <v>0</v>
      </c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112"/>
    </row>
    <row r="37" spans="1:64" s="8" customFormat="1" ht="71.25" customHeight="1" outlineLevel="1" x14ac:dyDescent="0.3">
      <c r="A37" s="9">
        <v>1</v>
      </c>
      <c r="B37" s="10" t="s">
        <v>0</v>
      </c>
      <c r="C37" s="10"/>
      <c r="D37" s="10" t="s">
        <v>1</v>
      </c>
      <c r="E37" s="10">
        <v>2</v>
      </c>
      <c r="F37" s="100" t="s">
        <v>49</v>
      </c>
      <c r="G37" s="62" t="s">
        <v>57</v>
      </c>
      <c r="H37" s="30"/>
      <c r="I37" s="82">
        <v>43549</v>
      </c>
      <c r="J37" s="16">
        <v>43549</v>
      </c>
      <c r="K37" s="16"/>
      <c r="L37" s="16" t="s">
        <v>56</v>
      </c>
      <c r="M37" s="16">
        <v>43550</v>
      </c>
      <c r="N37" s="16" t="s">
        <v>70</v>
      </c>
      <c r="O37" s="16">
        <v>43556</v>
      </c>
      <c r="P37" s="16"/>
      <c r="Q37" s="16"/>
      <c r="R37" s="16"/>
      <c r="S37" s="16"/>
      <c r="T37" s="16"/>
      <c r="U37" s="16"/>
      <c r="V37" s="16">
        <v>43553</v>
      </c>
      <c r="W37" s="16"/>
      <c r="X37" s="16"/>
      <c r="Y37" s="16"/>
      <c r="Z37" s="16">
        <v>43553</v>
      </c>
      <c r="AA37" s="16"/>
      <c r="AB37" s="16"/>
      <c r="AC37" s="16"/>
      <c r="AD37" s="16"/>
      <c r="AE37" s="16"/>
      <c r="AF37" s="16"/>
      <c r="AG37" s="16">
        <f t="shared" si="2"/>
        <v>43556</v>
      </c>
      <c r="AH37" s="11"/>
      <c r="AI37" s="12"/>
      <c r="AJ37" s="17"/>
      <c r="AK37" s="11"/>
      <c r="AL37" s="13"/>
      <c r="AM37" s="17"/>
      <c r="AN37" s="18"/>
      <c r="AO37" s="13"/>
      <c r="AP37" s="14"/>
      <c r="AQ37" s="27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59"/>
    </row>
    <row r="38" spans="1:64" s="8" customFormat="1" ht="71.25" customHeight="1" outlineLevel="1" x14ac:dyDescent="0.3">
      <c r="A38" s="9">
        <v>2</v>
      </c>
      <c r="B38" s="10"/>
      <c r="C38" s="10"/>
      <c r="D38" s="10"/>
      <c r="E38" s="10"/>
      <c r="F38" s="100" t="s">
        <v>50</v>
      </c>
      <c r="G38" s="62" t="s">
        <v>58</v>
      </c>
      <c r="H38" s="30"/>
      <c r="I38" s="82">
        <v>43549</v>
      </c>
      <c r="J38" s="16">
        <v>43549</v>
      </c>
      <c r="K38" s="16"/>
      <c r="L38" s="16" t="s">
        <v>56</v>
      </c>
      <c r="M38" s="16">
        <v>43550</v>
      </c>
      <c r="N38" s="16" t="s">
        <v>70</v>
      </c>
      <c r="O38" s="16">
        <v>43556</v>
      </c>
      <c r="P38" s="16"/>
      <c r="Q38" s="16"/>
      <c r="R38" s="16"/>
      <c r="S38" s="16"/>
      <c r="T38" s="16"/>
      <c r="U38" s="16"/>
      <c r="V38" s="16">
        <v>43553</v>
      </c>
      <c r="W38" s="16"/>
      <c r="X38" s="16"/>
      <c r="Y38" s="16"/>
      <c r="Z38" s="16">
        <v>43553</v>
      </c>
      <c r="AA38" s="16"/>
      <c r="AB38" s="16"/>
      <c r="AC38" s="16"/>
      <c r="AD38" s="16"/>
      <c r="AE38" s="16"/>
      <c r="AF38" s="16"/>
      <c r="AG38" s="16">
        <f t="shared" si="2"/>
        <v>43556</v>
      </c>
      <c r="AH38" s="11"/>
      <c r="AI38" s="12"/>
      <c r="AJ38" s="17"/>
      <c r="AK38" s="11"/>
      <c r="AL38" s="13"/>
      <c r="AM38" s="17"/>
      <c r="AN38" s="18"/>
      <c r="AO38" s="13"/>
      <c r="AP38" s="14"/>
      <c r="AQ38" s="27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59"/>
    </row>
    <row r="39" spans="1:64" s="8" customFormat="1" ht="71.25" customHeight="1" outlineLevel="1" x14ac:dyDescent="0.3">
      <c r="A39" s="9">
        <v>3</v>
      </c>
      <c r="B39" s="10"/>
      <c r="C39" s="10"/>
      <c r="D39" s="10"/>
      <c r="E39" s="10"/>
      <c r="F39" s="100" t="s">
        <v>67</v>
      </c>
      <c r="G39" s="62" t="s">
        <v>59</v>
      </c>
      <c r="H39" s="30"/>
      <c r="I39" s="82">
        <v>43549</v>
      </c>
      <c r="J39" s="16">
        <v>43549</v>
      </c>
      <c r="K39" s="16"/>
      <c r="L39" s="16" t="s">
        <v>56</v>
      </c>
      <c r="M39" s="16">
        <v>43550</v>
      </c>
      <c r="N39" s="16" t="s">
        <v>70</v>
      </c>
      <c r="O39" s="16">
        <v>43556</v>
      </c>
      <c r="P39" s="16"/>
      <c r="Q39" s="16"/>
      <c r="R39" s="16"/>
      <c r="S39" s="16"/>
      <c r="T39" s="16"/>
      <c r="U39" s="16"/>
      <c r="V39" s="16">
        <v>43553</v>
      </c>
      <c r="W39" s="16"/>
      <c r="X39" s="16"/>
      <c r="Y39" s="16"/>
      <c r="Z39" s="16">
        <v>43553</v>
      </c>
      <c r="AA39" s="16"/>
      <c r="AB39" s="16"/>
      <c r="AC39" s="16"/>
      <c r="AD39" s="16"/>
      <c r="AE39" s="16"/>
      <c r="AF39" s="16"/>
      <c r="AG39" s="16">
        <f t="shared" si="2"/>
        <v>43556</v>
      </c>
      <c r="AH39" s="11"/>
      <c r="AI39" s="12"/>
      <c r="AJ39" s="17"/>
      <c r="AK39" s="11"/>
      <c r="AL39" s="13"/>
      <c r="AM39" s="17"/>
      <c r="AN39" s="18"/>
      <c r="AO39" s="13"/>
      <c r="AP39" s="14"/>
      <c r="AQ39" s="27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59"/>
    </row>
    <row r="40" spans="1:64" s="8" customFormat="1" ht="71.25" customHeight="1" outlineLevel="1" x14ac:dyDescent="0.3">
      <c r="A40" s="9">
        <v>4</v>
      </c>
      <c r="B40" s="10"/>
      <c r="C40" s="10"/>
      <c r="D40" s="10"/>
      <c r="E40" s="10"/>
      <c r="F40" s="100" t="s">
        <v>68</v>
      </c>
      <c r="G40" s="62" t="s">
        <v>60</v>
      </c>
      <c r="H40" s="30"/>
      <c r="I40" s="82">
        <v>43549</v>
      </c>
      <c r="J40" s="16">
        <v>43549</v>
      </c>
      <c r="K40" s="16"/>
      <c r="L40" s="16" t="s">
        <v>56</v>
      </c>
      <c r="M40" s="16">
        <v>43550</v>
      </c>
      <c r="N40" s="16" t="s">
        <v>70</v>
      </c>
      <c r="O40" s="16">
        <v>43556</v>
      </c>
      <c r="P40" s="16"/>
      <c r="Q40" s="16"/>
      <c r="R40" s="16"/>
      <c r="S40" s="16"/>
      <c r="T40" s="16"/>
      <c r="U40" s="16"/>
      <c r="V40" s="16">
        <v>43553</v>
      </c>
      <c r="W40" s="16"/>
      <c r="X40" s="16"/>
      <c r="Y40" s="16"/>
      <c r="Z40" s="16">
        <v>43553</v>
      </c>
      <c r="AA40" s="16"/>
      <c r="AB40" s="16"/>
      <c r="AC40" s="16"/>
      <c r="AD40" s="16"/>
      <c r="AE40" s="16"/>
      <c r="AF40" s="16"/>
      <c r="AG40" s="16">
        <f t="shared" si="2"/>
        <v>43556</v>
      </c>
      <c r="AH40" s="11"/>
      <c r="AI40" s="12"/>
      <c r="AJ40" s="17"/>
      <c r="AK40" s="11"/>
      <c r="AL40" s="13"/>
      <c r="AM40" s="17"/>
      <c r="AN40" s="18"/>
      <c r="AO40" s="13"/>
      <c r="AP40" s="14"/>
      <c r="AQ40" s="27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59"/>
    </row>
    <row r="41" spans="1:64" s="8" customFormat="1" ht="71.25" customHeight="1" outlineLevel="1" x14ac:dyDescent="0.3">
      <c r="A41" s="9">
        <v>5</v>
      </c>
      <c r="B41" s="10" t="s">
        <v>0</v>
      </c>
      <c r="C41" s="10"/>
      <c r="D41" s="10" t="s">
        <v>1</v>
      </c>
      <c r="E41" s="10">
        <v>2</v>
      </c>
      <c r="F41" s="100" t="s">
        <v>51</v>
      </c>
      <c r="G41" s="62" t="s">
        <v>61</v>
      </c>
      <c r="H41" s="30"/>
      <c r="I41" s="82">
        <v>43549</v>
      </c>
      <c r="J41" s="16">
        <v>43549</v>
      </c>
      <c r="K41" s="16"/>
      <c r="L41" s="16" t="s">
        <v>56</v>
      </c>
      <c r="M41" s="16">
        <v>43550</v>
      </c>
      <c r="N41" s="16" t="s">
        <v>70</v>
      </c>
      <c r="O41" s="16">
        <v>43556</v>
      </c>
      <c r="P41" s="16"/>
      <c r="Q41" s="16"/>
      <c r="R41" s="16"/>
      <c r="S41" s="16"/>
      <c r="T41" s="16"/>
      <c r="U41" s="16"/>
      <c r="V41" s="16">
        <v>43553</v>
      </c>
      <c r="W41" s="16"/>
      <c r="X41" s="16"/>
      <c r="Y41" s="16"/>
      <c r="Z41" s="16">
        <v>43553</v>
      </c>
      <c r="AA41" s="16"/>
      <c r="AB41" s="16"/>
      <c r="AC41" s="16"/>
      <c r="AD41" s="16"/>
      <c r="AE41" s="16"/>
      <c r="AF41" s="16"/>
      <c r="AG41" s="16">
        <f t="shared" si="2"/>
        <v>43556</v>
      </c>
      <c r="AH41" s="11"/>
      <c r="AI41" s="12"/>
      <c r="AJ41" s="17"/>
      <c r="AK41" s="11"/>
      <c r="AL41" s="13"/>
      <c r="AM41" s="17"/>
      <c r="AN41" s="18"/>
      <c r="AO41" s="13"/>
      <c r="AP41" s="14"/>
      <c r="AQ41" s="27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59"/>
    </row>
    <row r="42" spans="1:64" s="8" customFormat="1" ht="71.25" customHeight="1" outlineLevel="1" x14ac:dyDescent="0.3">
      <c r="A42" s="9">
        <v>6</v>
      </c>
      <c r="B42" s="10"/>
      <c r="C42" s="10"/>
      <c r="D42" s="10"/>
      <c r="E42" s="10"/>
      <c r="F42" s="100" t="s">
        <v>52</v>
      </c>
      <c r="G42" s="62" t="s">
        <v>62</v>
      </c>
      <c r="H42" s="30"/>
      <c r="I42" s="82">
        <v>43549</v>
      </c>
      <c r="J42" s="16">
        <v>43549</v>
      </c>
      <c r="K42" s="16"/>
      <c r="L42" s="16" t="s">
        <v>56</v>
      </c>
      <c r="M42" s="16">
        <v>43550</v>
      </c>
      <c r="N42" s="16" t="s">
        <v>70</v>
      </c>
      <c r="O42" s="16">
        <v>43556</v>
      </c>
      <c r="P42" s="16"/>
      <c r="Q42" s="16"/>
      <c r="R42" s="16"/>
      <c r="S42" s="16"/>
      <c r="T42" s="16"/>
      <c r="U42" s="16"/>
      <c r="V42" s="16">
        <v>43553</v>
      </c>
      <c r="W42" s="16"/>
      <c r="X42" s="16"/>
      <c r="Y42" s="16"/>
      <c r="Z42" s="16">
        <v>43553</v>
      </c>
      <c r="AA42" s="16"/>
      <c r="AB42" s="16"/>
      <c r="AC42" s="16"/>
      <c r="AD42" s="16"/>
      <c r="AE42" s="16"/>
      <c r="AF42" s="16"/>
      <c r="AG42" s="16">
        <f t="shared" si="2"/>
        <v>43556</v>
      </c>
      <c r="AH42" s="11"/>
      <c r="AI42" s="12"/>
      <c r="AJ42" s="17"/>
      <c r="AK42" s="11"/>
      <c r="AL42" s="13"/>
      <c r="AM42" s="17"/>
      <c r="AN42" s="18"/>
      <c r="AO42" s="13"/>
      <c r="AP42" s="14"/>
      <c r="AQ42" s="27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59"/>
    </row>
    <row r="43" spans="1:64" s="8" customFormat="1" ht="71.25" customHeight="1" outlineLevel="1" x14ac:dyDescent="0.3">
      <c r="A43" s="9">
        <v>7</v>
      </c>
      <c r="B43" s="10"/>
      <c r="C43" s="10"/>
      <c r="D43" s="10"/>
      <c r="E43" s="10"/>
      <c r="F43" s="100" t="s">
        <v>53</v>
      </c>
      <c r="G43" s="62" t="s">
        <v>63</v>
      </c>
      <c r="H43" s="30"/>
      <c r="I43" s="82">
        <v>43549</v>
      </c>
      <c r="J43" s="16">
        <v>43549</v>
      </c>
      <c r="K43" s="16"/>
      <c r="L43" s="16" t="s">
        <v>56</v>
      </c>
      <c r="M43" s="16">
        <v>43550</v>
      </c>
      <c r="N43" s="16" t="s">
        <v>70</v>
      </c>
      <c r="O43" s="16">
        <v>43556</v>
      </c>
      <c r="P43" s="16"/>
      <c r="Q43" s="16"/>
      <c r="R43" s="16"/>
      <c r="S43" s="16"/>
      <c r="T43" s="16"/>
      <c r="U43" s="16"/>
      <c r="V43" s="16">
        <v>43553</v>
      </c>
      <c r="W43" s="16"/>
      <c r="X43" s="16"/>
      <c r="Y43" s="16"/>
      <c r="Z43" s="16">
        <v>43553</v>
      </c>
      <c r="AA43" s="16"/>
      <c r="AB43" s="16"/>
      <c r="AC43" s="16"/>
      <c r="AD43" s="16"/>
      <c r="AE43" s="16"/>
      <c r="AF43" s="16"/>
      <c r="AG43" s="16">
        <f t="shared" si="2"/>
        <v>43556</v>
      </c>
      <c r="AH43" s="11"/>
      <c r="AI43" s="12"/>
      <c r="AJ43" s="17"/>
      <c r="AK43" s="11"/>
      <c r="AL43" s="13"/>
      <c r="AM43" s="17"/>
      <c r="AN43" s="18"/>
      <c r="AO43" s="13"/>
      <c r="AP43" s="14"/>
      <c r="AQ43" s="27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59"/>
    </row>
    <row r="44" spans="1:64" s="8" customFormat="1" ht="45.6" customHeight="1" outlineLevel="1" x14ac:dyDescent="0.3">
      <c r="A44" s="9">
        <v>8</v>
      </c>
      <c r="B44" s="10"/>
      <c r="C44" s="10"/>
      <c r="D44" s="10"/>
      <c r="E44" s="10"/>
      <c r="F44" s="100" t="s">
        <v>54</v>
      </c>
      <c r="G44" s="62" t="s">
        <v>64</v>
      </c>
      <c r="H44" s="30"/>
      <c r="I44" s="82">
        <v>43549</v>
      </c>
      <c r="J44" s="16">
        <v>43549</v>
      </c>
      <c r="K44" s="16"/>
      <c r="L44" s="16" t="s">
        <v>56</v>
      </c>
      <c r="M44" s="16">
        <v>43550</v>
      </c>
      <c r="N44" s="16" t="s">
        <v>70</v>
      </c>
      <c r="O44" s="16">
        <v>43556</v>
      </c>
      <c r="P44" s="16"/>
      <c r="Q44" s="16"/>
      <c r="R44" s="16"/>
      <c r="S44" s="16"/>
      <c r="T44" s="16"/>
      <c r="U44" s="16"/>
      <c r="V44" s="16">
        <v>43553</v>
      </c>
      <c r="W44" s="16"/>
      <c r="X44" s="16"/>
      <c r="Y44" s="16"/>
      <c r="Z44" s="16">
        <v>43553</v>
      </c>
      <c r="AA44" s="16"/>
      <c r="AB44" s="16"/>
      <c r="AC44" s="16"/>
      <c r="AD44" s="16"/>
      <c r="AE44" s="16"/>
      <c r="AF44" s="16"/>
      <c r="AG44" s="16">
        <f t="shared" si="2"/>
        <v>43556</v>
      </c>
      <c r="AH44" s="11"/>
      <c r="AI44" s="12"/>
      <c r="AJ44" s="17"/>
      <c r="AK44" s="11"/>
      <c r="AL44" s="13"/>
      <c r="AM44" s="17"/>
      <c r="AN44" s="18"/>
      <c r="AO44" s="13"/>
      <c r="AP44" s="14"/>
      <c r="AQ44" s="27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59"/>
    </row>
    <row r="45" spans="1:64" s="8" customFormat="1" ht="45.6" customHeight="1" outlineLevel="1" x14ac:dyDescent="0.3">
      <c r="A45" s="9">
        <v>9</v>
      </c>
      <c r="B45" s="10"/>
      <c r="C45" s="10"/>
      <c r="D45" s="10"/>
      <c r="E45" s="10"/>
      <c r="F45" s="100" t="s">
        <v>55</v>
      </c>
      <c r="G45" s="62" t="s">
        <v>65</v>
      </c>
      <c r="H45" s="30"/>
      <c r="I45" s="82">
        <v>43549</v>
      </c>
      <c r="J45" s="16">
        <v>43549</v>
      </c>
      <c r="K45" s="16"/>
      <c r="L45" s="16" t="s">
        <v>56</v>
      </c>
      <c r="M45" s="16">
        <v>43550</v>
      </c>
      <c r="N45" s="16" t="s">
        <v>70</v>
      </c>
      <c r="O45" s="16">
        <v>43556</v>
      </c>
      <c r="P45" s="16"/>
      <c r="Q45" s="16"/>
      <c r="R45" s="16"/>
      <c r="S45" s="16"/>
      <c r="T45" s="16"/>
      <c r="U45" s="16"/>
      <c r="V45" s="16">
        <v>43553</v>
      </c>
      <c r="W45" s="16"/>
      <c r="X45" s="16"/>
      <c r="Y45" s="16"/>
      <c r="Z45" s="16">
        <v>43553</v>
      </c>
      <c r="AA45" s="16"/>
      <c r="AB45" s="16"/>
      <c r="AC45" s="16"/>
      <c r="AD45" s="16"/>
      <c r="AE45" s="16"/>
      <c r="AF45" s="16"/>
      <c r="AG45" s="16">
        <f t="shared" si="2"/>
        <v>43556</v>
      </c>
      <c r="AH45" s="11"/>
      <c r="AI45" s="12"/>
      <c r="AJ45" s="17"/>
      <c r="AK45" s="11"/>
      <c r="AL45" s="13"/>
      <c r="AM45" s="17"/>
      <c r="AN45" s="18"/>
      <c r="AO45" s="13"/>
      <c r="AP45" s="14"/>
      <c r="AQ45" s="27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59"/>
    </row>
    <row r="46" spans="1:64" s="8" customFormat="1" ht="45.6" customHeight="1" outlineLevel="1" x14ac:dyDescent="0.3">
      <c r="A46" s="9">
        <v>10</v>
      </c>
      <c r="B46" s="10"/>
      <c r="C46" s="10"/>
      <c r="D46" s="10"/>
      <c r="E46" s="10"/>
      <c r="F46" s="100" t="s">
        <v>69</v>
      </c>
      <c r="G46" s="62" t="s">
        <v>66</v>
      </c>
      <c r="H46" s="30"/>
      <c r="I46" s="82">
        <v>43549</v>
      </c>
      <c r="J46" s="16">
        <v>43549</v>
      </c>
      <c r="K46" s="16"/>
      <c r="L46" s="16" t="s">
        <v>56</v>
      </c>
      <c r="M46" s="16">
        <v>43550</v>
      </c>
      <c r="N46" s="16" t="s">
        <v>70</v>
      </c>
      <c r="O46" s="16">
        <v>43556</v>
      </c>
      <c r="P46" s="16"/>
      <c r="Q46" s="16"/>
      <c r="R46" s="16"/>
      <c r="S46" s="16"/>
      <c r="T46" s="16"/>
      <c r="U46" s="16"/>
      <c r="V46" s="16">
        <v>43553</v>
      </c>
      <c r="W46" s="16"/>
      <c r="X46" s="16"/>
      <c r="Y46" s="16"/>
      <c r="Z46" s="16">
        <v>43553</v>
      </c>
      <c r="AA46" s="16"/>
      <c r="AB46" s="16"/>
      <c r="AC46" s="16"/>
      <c r="AD46" s="16"/>
      <c r="AE46" s="16"/>
      <c r="AF46" s="16"/>
      <c r="AG46" s="16">
        <f t="shared" si="2"/>
        <v>43556</v>
      </c>
      <c r="AH46" s="11"/>
      <c r="AI46" s="12"/>
      <c r="AJ46" s="17"/>
      <c r="AK46" s="11"/>
      <c r="AL46" s="13"/>
      <c r="AM46" s="17"/>
      <c r="AN46" s="18"/>
      <c r="AO46" s="13"/>
      <c r="AP46" s="14"/>
      <c r="AQ46" s="27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59"/>
    </row>
    <row r="47" spans="1:64" s="8" customFormat="1" ht="29.1" customHeight="1" outlineLevel="1" thickBot="1" x14ac:dyDescent="0.35">
      <c r="A47" s="33"/>
      <c r="B47" s="19" t="s">
        <v>0</v>
      </c>
      <c r="C47" s="19"/>
      <c r="D47" s="19" t="s">
        <v>1</v>
      </c>
      <c r="E47" s="19">
        <v>2</v>
      </c>
      <c r="F47" s="20"/>
      <c r="G47" s="20"/>
      <c r="H47" s="31" t="str">
        <f>+IF(AG47&lt;&gt;0,100%,"")</f>
        <v/>
      </c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22"/>
      <c r="AI47" s="21"/>
      <c r="AJ47" s="23"/>
      <c r="AK47" s="22"/>
      <c r="AL47" s="24"/>
      <c r="AM47" s="23"/>
      <c r="AN47" s="25"/>
      <c r="AO47" s="24"/>
      <c r="AP47" s="26"/>
      <c r="AQ47" s="28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60"/>
    </row>
    <row r="48" spans="1:64" ht="17.399999999999999" thickTop="1" x14ac:dyDescent="0.3"/>
  </sheetData>
  <mergeCells count="105">
    <mergeCell ref="AL31:AL32"/>
    <mergeCell ref="BD21:BK21"/>
    <mergeCell ref="L24:M24"/>
    <mergeCell ref="T24:U24"/>
    <mergeCell ref="A12:BL12"/>
    <mergeCell ref="EO12:FI12"/>
    <mergeCell ref="FJ12:GD12"/>
    <mergeCell ref="AH24:AN24"/>
    <mergeCell ref="AO24:AU24"/>
    <mergeCell ref="AV24:BB24"/>
    <mergeCell ref="BC24:BI24"/>
    <mergeCell ref="BJ24:BK24"/>
    <mergeCell ref="BL23:BL25"/>
    <mergeCell ref="CD14:CX14"/>
    <mergeCell ref="CY14:DS14"/>
    <mergeCell ref="CD12:CX12"/>
    <mergeCell ref="CY12:DS12"/>
    <mergeCell ref="A16:AM16"/>
    <mergeCell ref="AN16:BH16"/>
    <mergeCell ref="CD16:CX16"/>
    <mergeCell ref="CY16:DS16"/>
    <mergeCell ref="A17:AM17"/>
    <mergeCell ref="AN17:BH17"/>
    <mergeCell ref="A23:A25"/>
    <mergeCell ref="AG23:AG25"/>
    <mergeCell ref="AH23:BK23"/>
    <mergeCell ref="L23:U23"/>
    <mergeCell ref="V23:Y23"/>
    <mergeCell ref="Z23:AF23"/>
    <mergeCell ref="V24:V25"/>
    <mergeCell ref="W24:W25"/>
    <mergeCell ref="X24:X25"/>
    <mergeCell ref="Y24:Y25"/>
    <mergeCell ref="Z24:Z25"/>
    <mergeCell ref="AB24:AB25"/>
    <mergeCell ref="AD24:AD25"/>
    <mergeCell ref="AF24:AF25"/>
    <mergeCell ref="A14:AM14"/>
    <mergeCell ref="GE16:GY16"/>
    <mergeCell ref="GZ16:HT16"/>
    <mergeCell ref="IP18:JJ18"/>
    <mergeCell ref="A18:AM18"/>
    <mergeCell ref="AN18:BH18"/>
    <mergeCell ref="HU15:IO15"/>
    <mergeCell ref="IP15:JJ15"/>
    <mergeCell ref="CD18:CX18"/>
    <mergeCell ref="CY18:DS18"/>
    <mergeCell ref="IP16:JJ16"/>
    <mergeCell ref="GE18:GY18"/>
    <mergeCell ref="GZ18:HT18"/>
    <mergeCell ref="HU18:IO18"/>
    <mergeCell ref="A15:AM15"/>
    <mergeCell ref="AN15:BH15"/>
    <mergeCell ref="CD15:CX15"/>
    <mergeCell ref="CY15:DS15"/>
    <mergeCell ref="DT15:EN15"/>
    <mergeCell ref="HU14:IO14"/>
    <mergeCell ref="JK15:JN15"/>
    <mergeCell ref="DT12:EN12"/>
    <mergeCell ref="GE17:GY17"/>
    <mergeCell ref="GZ17:HT17"/>
    <mergeCell ref="HU17:IO17"/>
    <mergeCell ref="IP17:JJ17"/>
    <mergeCell ref="JK17:JN17"/>
    <mergeCell ref="HU16:IO16"/>
    <mergeCell ref="GE15:GY15"/>
    <mergeCell ref="GZ15:HT15"/>
    <mergeCell ref="EO15:FI15"/>
    <mergeCell ref="FJ15:GD15"/>
    <mergeCell ref="DT14:EN14"/>
    <mergeCell ref="EO14:FI14"/>
    <mergeCell ref="FJ14:GD14"/>
    <mergeCell ref="GE12:GY12"/>
    <mergeCell ref="GZ12:HT12"/>
    <mergeCell ref="HU12:IO12"/>
    <mergeCell ref="IP12:JJ12"/>
    <mergeCell ref="JK12:JN12"/>
    <mergeCell ref="IP14:JJ14"/>
    <mergeCell ref="JK14:JN14"/>
    <mergeCell ref="GE14:GY14"/>
    <mergeCell ref="GZ14:HT14"/>
    <mergeCell ref="F23:F25"/>
    <mergeCell ref="JK16:JN16"/>
    <mergeCell ref="CD17:CX17"/>
    <mergeCell ref="CY17:DS17"/>
    <mergeCell ref="DT17:EN17"/>
    <mergeCell ref="EO17:FI17"/>
    <mergeCell ref="FJ17:GD17"/>
    <mergeCell ref="DT16:EN16"/>
    <mergeCell ref="EO16:FI16"/>
    <mergeCell ref="FJ16:GD16"/>
    <mergeCell ref="JK18:JN18"/>
    <mergeCell ref="DT18:EN18"/>
    <mergeCell ref="EO18:FI18"/>
    <mergeCell ref="FJ18:GD18"/>
    <mergeCell ref="G23:G25"/>
    <mergeCell ref="H23:H25"/>
    <mergeCell ref="I23:I25"/>
    <mergeCell ref="J23:J25"/>
    <mergeCell ref="R24:S24"/>
    <mergeCell ref="P24:Q24"/>
    <mergeCell ref="N24:O24"/>
    <mergeCell ref="AA24:AA25"/>
    <mergeCell ref="AC24:AC25"/>
    <mergeCell ref="AE24:AE25"/>
  </mergeCells>
  <conditionalFormatting sqref="E37:E46 A29:A35">
    <cfRule type="expression" dxfId="117" priority="1377" stopIfTrue="1">
      <formula>AL29="NA"</formula>
    </cfRule>
    <cfRule type="expression" dxfId="116" priority="1378" stopIfTrue="1">
      <formula>AL29="A"</formula>
    </cfRule>
    <cfRule type="expression" dxfId="115" priority="1379" stopIfTrue="1">
      <formula>AL29="AC"</formula>
    </cfRule>
  </conditionalFormatting>
  <conditionalFormatting sqref="C29:C35">
    <cfRule type="expression" dxfId="114" priority="1374" stopIfTrue="1">
      <formula>AL29="NA"</formula>
    </cfRule>
    <cfRule type="expression" dxfId="113" priority="1375" stopIfTrue="1">
      <formula>AL29="A"</formula>
    </cfRule>
    <cfRule type="expression" dxfId="112" priority="1376" stopIfTrue="1">
      <formula>AL29="AC"</formula>
    </cfRule>
  </conditionalFormatting>
  <conditionalFormatting sqref="AL37:AL47 AH29:AI35">
    <cfRule type="expression" dxfId="111" priority="1356" stopIfTrue="1">
      <formula>AL29="NA"</formula>
    </cfRule>
    <cfRule type="expression" dxfId="110" priority="1357" stopIfTrue="1">
      <formula>AL29="A"</formula>
    </cfRule>
    <cfRule type="expression" dxfId="109" priority="1358" stopIfTrue="1">
      <formula>AL29="AC"</formula>
    </cfRule>
  </conditionalFormatting>
  <conditionalFormatting sqref="AJ29:AK35">
    <cfRule type="expression" dxfId="108" priority="1353" stopIfTrue="1">
      <formula>AL29="NA"</formula>
    </cfRule>
    <cfRule type="expression" dxfId="107" priority="1354" stopIfTrue="1">
      <formula>AL29="A"</formula>
    </cfRule>
    <cfRule type="expression" dxfId="106" priority="1355" stopIfTrue="1">
      <formula>AL29="AC"</formula>
    </cfRule>
  </conditionalFormatting>
  <conditionalFormatting sqref="AL29 AP37:AP47">
    <cfRule type="cellIs" dxfId="105" priority="1347" stopIfTrue="1" operator="equal">
      <formula>"A"</formula>
    </cfRule>
    <cfRule type="cellIs" dxfId="104" priority="1348" stopIfTrue="1" operator="equal">
      <formula>"NA"</formula>
    </cfRule>
    <cfRule type="cellIs" dxfId="103" priority="1349" stopIfTrue="1" operator="equal">
      <formula>"AC"</formula>
    </cfRule>
  </conditionalFormatting>
  <conditionalFormatting sqref="B29:B35">
    <cfRule type="expression" dxfId="102" priority="1344" stopIfTrue="1">
      <formula>AL29="NA"</formula>
    </cfRule>
    <cfRule type="expression" dxfId="101" priority="1345" stopIfTrue="1">
      <formula>AL29="A"</formula>
    </cfRule>
    <cfRule type="expression" dxfId="100" priority="1346" stopIfTrue="1">
      <formula>AL29="AC"</formula>
    </cfRule>
  </conditionalFormatting>
  <conditionalFormatting sqref="D29:D35">
    <cfRule type="expression" dxfId="99" priority="1341" stopIfTrue="1">
      <formula>AL29="NA"</formula>
    </cfRule>
    <cfRule type="expression" dxfId="98" priority="1342" stopIfTrue="1">
      <formula>AL29="A"</formula>
    </cfRule>
    <cfRule type="expression" dxfId="97" priority="1343" stopIfTrue="1">
      <formula>AL29="AC"</formula>
    </cfRule>
  </conditionalFormatting>
  <conditionalFormatting sqref="A37:A47">
    <cfRule type="expression" dxfId="96" priority="591" stopIfTrue="1">
      <formula>AP37="NA"</formula>
    </cfRule>
    <cfRule type="expression" dxfId="95" priority="592" stopIfTrue="1">
      <formula>AP37="A"</formula>
    </cfRule>
    <cfRule type="expression" dxfId="94" priority="593" stopIfTrue="1">
      <formula>AP37="AC"</formula>
    </cfRule>
  </conditionalFormatting>
  <conditionalFormatting sqref="C37:C46">
    <cfRule type="expression" dxfId="93" priority="588" stopIfTrue="1">
      <formula>AP37="NA"</formula>
    </cfRule>
    <cfRule type="expression" dxfId="92" priority="589" stopIfTrue="1">
      <formula>AP37="A"</formula>
    </cfRule>
    <cfRule type="expression" dxfId="91" priority="590" stopIfTrue="1">
      <formula>AP37="AC"</formula>
    </cfRule>
  </conditionalFormatting>
  <conditionalFormatting sqref="F47">
    <cfRule type="expression" dxfId="90" priority="582" stopIfTrue="1">
      <formula>AP47="NA"</formula>
    </cfRule>
    <cfRule type="expression" dxfId="89" priority="583" stopIfTrue="1">
      <formula>AP47="A"</formula>
    </cfRule>
    <cfRule type="expression" dxfId="88" priority="584" stopIfTrue="1">
      <formula>AP47="AC"</formula>
    </cfRule>
  </conditionalFormatting>
  <conditionalFormatting sqref="G47">
    <cfRule type="expression" dxfId="87" priority="579" stopIfTrue="1">
      <formula>AP47="NA"</formula>
    </cfRule>
    <cfRule type="expression" dxfId="86" priority="580" stopIfTrue="1">
      <formula>AP47="A"</formula>
    </cfRule>
    <cfRule type="expression" dxfId="85" priority="581" stopIfTrue="1">
      <formula>AP47="AC"</formula>
    </cfRule>
  </conditionalFormatting>
  <conditionalFormatting sqref="AK37:AK47 AH37:AH47">
    <cfRule type="expression" dxfId="84" priority="573" stopIfTrue="1">
      <formula>AN37="NA"</formula>
    </cfRule>
    <cfRule type="expression" dxfId="83" priority="574" stopIfTrue="1">
      <formula>AN37="A"</formula>
    </cfRule>
    <cfRule type="expression" dxfId="82" priority="575" stopIfTrue="1">
      <formula>AN37="AC"</formula>
    </cfRule>
  </conditionalFormatting>
  <conditionalFormatting sqref="AM37:AM46 AJ37:AJ46 AN37:AN47">
    <cfRule type="expression" dxfId="81" priority="567" stopIfTrue="1">
      <formula>AM37="NA"</formula>
    </cfRule>
    <cfRule type="expression" dxfId="80" priority="568" stopIfTrue="1">
      <formula>AM37="A"</formula>
    </cfRule>
    <cfRule type="expression" dxfId="79" priority="569" stopIfTrue="1">
      <formula>AM37="AC"</formula>
    </cfRule>
  </conditionalFormatting>
  <conditionalFormatting sqref="AO37:AO47">
    <cfRule type="expression" dxfId="78" priority="564" stopIfTrue="1">
      <formula>AP37="NA"</formula>
    </cfRule>
    <cfRule type="expression" dxfId="77" priority="565" stopIfTrue="1">
      <formula>AP37="A"</formula>
    </cfRule>
    <cfRule type="expression" dxfId="76" priority="566" stopIfTrue="1">
      <formula>AP37="AC"</formula>
    </cfRule>
  </conditionalFormatting>
  <conditionalFormatting sqref="B37:B47">
    <cfRule type="expression" dxfId="75" priority="555" stopIfTrue="1">
      <formula>AP37="NA"</formula>
    </cfRule>
    <cfRule type="expression" dxfId="74" priority="556" stopIfTrue="1">
      <formula>AP37="A"</formula>
    </cfRule>
    <cfRule type="expression" dxfId="73" priority="557" stopIfTrue="1">
      <formula>AP37="AC"</formula>
    </cfRule>
  </conditionalFormatting>
  <conditionalFormatting sqref="C47">
    <cfRule type="expression" dxfId="72" priority="552" stopIfTrue="1">
      <formula>AP47="NA"</formula>
    </cfRule>
    <cfRule type="expression" dxfId="71" priority="553" stopIfTrue="1">
      <formula>AP47="A"</formula>
    </cfRule>
    <cfRule type="expression" dxfId="70" priority="554" stopIfTrue="1">
      <formula>AP47="AC"</formula>
    </cfRule>
  </conditionalFormatting>
  <conditionalFormatting sqref="D37:D47">
    <cfRule type="expression" dxfId="69" priority="549" stopIfTrue="1">
      <formula>AP37="NA"</formula>
    </cfRule>
    <cfRule type="expression" dxfId="68" priority="550" stopIfTrue="1">
      <formula>AP37="A"</formula>
    </cfRule>
    <cfRule type="expression" dxfId="67" priority="551" stopIfTrue="1">
      <formula>AP37="AC"</formula>
    </cfRule>
  </conditionalFormatting>
  <conditionalFormatting sqref="E47">
    <cfRule type="expression" dxfId="66" priority="546" stopIfTrue="1">
      <formula>AP47="NA"</formula>
    </cfRule>
    <cfRule type="expression" dxfId="65" priority="547" stopIfTrue="1">
      <formula>AP47="A"</formula>
    </cfRule>
    <cfRule type="expression" dxfId="64" priority="548" stopIfTrue="1">
      <formula>AP47="AC"</formula>
    </cfRule>
  </conditionalFormatting>
  <conditionalFormatting sqref="AI47">
    <cfRule type="containsText" dxfId="63" priority="454" stopIfTrue="1" operator="containsText" text="A">
      <formula>NOT(ISERROR(SEARCH("A",AI47)))</formula>
    </cfRule>
  </conditionalFormatting>
  <conditionalFormatting sqref="AI47">
    <cfRule type="expression" dxfId="62" priority="464" stopIfTrue="1">
      <formula>#REF!="NA"</formula>
    </cfRule>
  </conditionalFormatting>
  <conditionalFormatting sqref="AI47">
    <cfRule type="containsText" dxfId="61" priority="453" stopIfTrue="1" operator="containsText" text="R">
      <formula>NOT(ISERROR(SEARCH("R",AI47)))</formula>
    </cfRule>
  </conditionalFormatting>
  <conditionalFormatting sqref="AM47">
    <cfRule type="expression" dxfId="60" priority="444" stopIfTrue="1">
      <formula>AP47="NA"</formula>
    </cfRule>
    <cfRule type="expression" dxfId="59" priority="445" stopIfTrue="1">
      <formula>AP47="A"</formula>
    </cfRule>
    <cfRule type="expression" dxfId="58" priority="446" stopIfTrue="1">
      <formula>AP47="AC"</formula>
    </cfRule>
  </conditionalFormatting>
  <conditionalFormatting sqref="AJ47">
    <cfRule type="expression" dxfId="57" priority="420" stopIfTrue="1">
      <formula>AM47="NA"</formula>
    </cfRule>
    <cfRule type="expression" dxfId="56" priority="421" stopIfTrue="1">
      <formula>AM47="A"</formula>
    </cfRule>
    <cfRule type="expression" dxfId="55" priority="422" stopIfTrue="1">
      <formula>AM47="AC"</formula>
    </cfRule>
  </conditionalFormatting>
  <conditionalFormatting sqref="AI37:AI46">
    <cfRule type="containsText" dxfId="54" priority="406" stopIfTrue="1" operator="containsText" text="A">
      <formula>NOT(ISERROR(SEARCH("A",AI37)))</formula>
    </cfRule>
  </conditionalFormatting>
  <conditionalFormatting sqref="AI37:AI46">
    <cfRule type="expression" dxfId="53" priority="407" stopIfTrue="1">
      <formula>#REF!="NA"</formula>
    </cfRule>
  </conditionalFormatting>
  <conditionalFormatting sqref="AI37:AI46">
    <cfRule type="containsText" dxfId="52" priority="405" stopIfTrue="1" operator="containsText" text="R">
      <formula>NOT(ISERROR(SEARCH("R",AI37)))</formula>
    </cfRule>
  </conditionalFormatting>
  <conditionalFormatting sqref="AG27:AG28">
    <cfRule type="expression" dxfId="51" priority="182">
      <formula>$AG27&lt;&gt;0</formula>
    </cfRule>
  </conditionalFormatting>
  <conditionalFormatting sqref="H27:H35 H47">
    <cfRule type="cellIs" dxfId="50" priority="181" operator="between">
      <formula>100%</formula>
      <formula>1</formula>
    </cfRule>
  </conditionalFormatting>
  <conditionalFormatting sqref="I47">
    <cfRule type="expression" dxfId="49" priority="170" stopIfTrue="1">
      <formula>#REF!="NA"</formula>
    </cfRule>
    <cfRule type="expression" dxfId="48" priority="171" stopIfTrue="1">
      <formula>#REF!="A"</formula>
    </cfRule>
    <cfRule type="expression" dxfId="47" priority="172" stopIfTrue="1">
      <formula>#REF!="AC"</formula>
    </cfRule>
  </conditionalFormatting>
  <conditionalFormatting sqref="H37:H46">
    <cfRule type="cellIs" dxfId="46" priority="117" operator="between">
      <formula>100%</formula>
      <formula>1</formula>
    </cfRule>
  </conditionalFormatting>
  <conditionalFormatting sqref="H36">
    <cfRule type="cellIs" dxfId="45" priority="80" operator="between">
      <formula>100%</formula>
      <formula>1</formula>
    </cfRule>
  </conditionalFormatting>
  <conditionalFormatting sqref="H26">
    <cfRule type="cellIs" dxfId="44" priority="79" operator="between">
      <formula>100%</formula>
      <formula>1</formula>
    </cfRule>
  </conditionalFormatting>
  <conditionalFormatting sqref="J29:J31 J37:J46">
    <cfRule type="expression" dxfId="43" priority="70">
      <formula>$I29&lt;$J29</formula>
    </cfRule>
    <cfRule type="expression" dxfId="42" priority="71">
      <formula>$I29&gt;=$J29</formula>
    </cfRule>
  </conditionalFormatting>
  <conditionalFormatting sqref="Z29:Z46">
    <cfRule type="expression" dxfId="41" priority="68">
      <formula>$Z29&gt;$V29</formula>
    </cfRule>
    <cfRule type="expression" dxfId="40" priority="69">
      <formula>$Z29&lt;=$V29</formula>
    </cfRule>
  </conditionalFormatting>
  <conditionalFormatting sqref="AD29:AD46">
    <cfRule type="expression" dxfId="39" priority="64">
      <formula>$AD29&gt;$X29</formula>
    </cfRule>
    <cfRule type="expression" dxfId="38" priority="65">
      <formula>$AD29&lt;=$X29</formula>
    </cfRule>
  </conditionalFormatting>
  <conditionalFormatting sqref="AF29:AF46">
    <cfRule type="expression" dxfId="37" priority="62">
      <formula>$AF29&gt;$Y29</formula>
    </cfRule>
    <cfRule type="expression" dxfId="36" priority="63">
      <formula>$AF29&lt;=$Y29</formula>
    </cfRule>
  </conditionalFormatting>
  <conditionalFormatting sqref="AB29:AB46">
    <cfRule type="expression" dxfId="35" priority="31">
      <formula>$AB29&gt;$W29</formula>
    </cfRule>
    <cfRule type="expression" dxfId="34" priority="32">
      <formula>$AB29&lt;=$W29</formula>
    </cfRule>
  </conditionalFormatting>
  <conditionalFormatting sqref="G37:G46">
    <cfRule type="expression" dxfId="33" priority="25" stopIfTrue="1">
      <formula>Q37="NA"</formula>
    </cfRule>
    <cfRule type="expression" dxfId="32" priority="26" stopIfTrue="1">
      <formula>Q37="A"</formula>
    </cfRule>
    <cfRule type="expression" dxfId="31" priority="27" stopIfTrue="1">
      <formula>Q37="AC"</formula>
    </cfRule>
  </conditionalFormatting>
  <conditionalFormatting sqref="G28:G35">
    <cfRule type="expression" dxfId="30" priority="22" stopIfTrue="1">
      <formula>Q28="NA"</formula>
    </cfRule>
    <cfRule type="expression" dxfId="29" priority="23" stopIfTrue="1">
      <formula>Q28="A"</formula>
    </cfRule>
    <cfRule type="expression" dxfId="28" priority="24" stopIfTrue="1">
      <formula>Q28="AC"</formula>
    </cfRule>
  </conditionalFormatting>
  <conditionalFormatting sqref="H29:H47">
    <cfRule type="cellIs" dxfId="27" priority="19" operator="between">
      <formula>0.7</formula>
      <formula>1</formula>
    </cfRule>
    <cfRule type="cellIs" dxfId="26" priority="20" operator="between">
      <formula>0.3</formula>
      <formula>0.7</formula>
    </cfRule>
    <cfRule type="cellIs" dxfId="25" priority="21" operator="between">
      <formula>0</formula>
      <formula>0.3</formula>
    </cfRule>
  </conditionalFormatting>
  <conditionalFormatting sqref="F30:F35">
    <cfRule type="expression" dxfId="24" priority="16" stopIfTrue="1">
      <formula>P30="NA"</formula>
    </cfRule>
    <cfRule type="expression" dxfId="23" priority="17" stopIfTrue="1">
      <formula>P30="A"</formula>
    </cfRule>
    <cfRule type="expression" dxfId="22" priority="18" stopIfTrue="1">
      <formula>P30="AC"</formula>
    </cfRule>
  </conditionalFormatting>
  <conditionalFormatting sqref="F37:F46">
    <cfRule type="expression" dxfId="21" priority="13" stopIfTrue="1">
      <formula>P37="NA"</formula>
    </cfRule>
    <cfRule type="expression" dxfId="20" priority="14" stopIfTrue="1">
      <formula>P37="A"</formula>
    </cfRule>
    <cfRule type="expression" dxfId="19" priority="15" stopIfTrue="1">
      <formula>P37="AC"</formula>
    </cfRule>
  </conditionalFormatting>
  <conditionalFormatting sqref="J33:J35">
    <cfRule type="expression" dxfId="18" priority="10">
      <formula>$I33&lt;$J33</formula>
    </cfRule>
    <cfRule type="expression" dxfId="17" priority="11">
      <formula>$I33&gt;=$J33</formula>
    </cfRule>
  </conditionalFormatting>
  <conditionalFormatting sqref="J29:AG46">
    <cfRule type="cellIs" dxfId="3" priority="2" operator="between">
      <formula>0</formula>
      <formula>0</formula>
    </cfRule>
    <cfRule type="containsText" dxfId="2" priority="1" operator="containsText" text="FALSE">
      <formula>NOT(ISERROR(SEARCH("FALSE",J29)))</formula>
    </cfRule>
  </conditionalFormatting>
  <printOptions horizontalCentered="1"/>
  <pageMargins left="0.25" right="0.25" top="0.75" bottom="0.25" header="0.3" footer="0.3"/>
  <pageSetup paperSize="8" scale="55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83" operator="containsText" id="{B83C45C4-CCFB-4CB9-994D-C3FE4DEB2FE2}">
            <xm:f>NOT(ISERROR(SEARCH("A",L1)))</xm:f>
            <xm:f>"A"</xm:f>
            <x14:dxf>
              <fill>
                <patternFill>
                  <bgColor rgb="FF00B050"/>
                </patternFill>
              </fill>
            </x14:dxf>
          </x14:cfRule>
          <xm:sqref>BL1:BL20 BL27:BL28 BL31:BL32 BL22:BL25 BL37:BL1048576 L29:U32 L36:U36 N33:U35 L47:U47 M37:U37 N38:N41 O38:U46</xm:sqref>
        </x14:conditionalFormatting>
        <x14:conditionalFormatting xmlns:xm="http://schemas.microsoft.com/office/excel/2006/main">
          <x14:cfRule type="containsText" priority="179" operator="containsText" id="{922E90E5-5DF3-4C08-9225-B626BD93048B}">
            <xm:f>NOT(ISERROR(SEARCH("A",BL29)))</xm:f>
            <xm:f>"A"</xm:f>
            <x14:dxf>
              <fill>
                <patternFill>
                  <bgColor rgb="FF00B050"/>
                </patternFill>
              </fill>
            </x14:dxf>
          </x14:cfRule>
          <xm:sqref>BL29:BL30</xm:sqref>
        </x14:conditionalFormatting>
        <x14:conditionalFormatting xmlns:xm="http://schemas.microsoft.com/office/excel/2006/main">
          <x14:cfRule type="containsText" priority="178" operator="containsText" id="{1EA0DE0A-D92E-4E32-8E95-93BDFB53365C}">
            <xm:f>NOT(ISERROR(SEARCH("A",BL33)))</xm:f>
            <xm:f>"A"</xm:f>
            <x14:dxf>
              <fill>
                <patternFill>
                  <bgColor rgb="FF00B050"/>
                </patternFill>
              </fill>
            </x14:dxf>
          </x14:cfRule>
          <xm:sqref>BL33:BL35</xm:sqref>
        </x14:conditionalFormatting>
        <x14:conditionalFormatting xmlns:xm="http://schemas.microsoft.com/office/excel/2006/main">
          <x14:cfRule type="containsText" priority="82" operator="containsText" id="{0EED7BE0-F41A-4AD1-ACAC-05F04A532405}">
            <xm:f>NOT(ISERROR(SEARCH("A",BL36)))</xm:f>
            <xm:f>"A"</xm:f>
            <x14:dxf>
              <fill>
                <patternFill>
                  <bgColor rgb="FF00B050"/>
                </patternFill>
              </fill>
            </x14:dxf>
          </x14:cfRule>
          <xm:sqref>BL36</xm:sqref>
        </x14:conditionalFormatting>
        <x14:conditionalFormatting xmlns:xm="http://schemas.microsoft.com/office/excel/2006/main">
          <x14:cfRule type="containsText" priority="57" operator="containsText" id="{2A37B688-D5A4-4818-8D47-0A8CC5AE5995}">
            <xm:f>NOT(ISERROR(SEARCH("R",L29)))</xm:f>
            <xm:f>"R"</xm:f>
            <x14:dxf>
              <fill>
                <patternFill>
                  <bgColor rgb="FFFF0000"/>
                </patternFill>
              </fill>
            </x14:dxf>
          </x14:cfRule>
          <xm:sqref>L29:U32 L36:U36 N33:U35 M37:U37 N38:N41 O38:U46</xm:sqref>
        </x14:conditionalFormatting>
        <x14:conditionalFormatting xmlns:xm="http://schemas.microsoft.com/office/excel/2006/main">
          <x14:cfRule type="containsText" priority="12" operator="containsText" id="{32FBFAF1-0D31-41F7-A370-1F879DD47184}">
            <xm:f>NOT(ISERROR(SEARCH("A",L33)))</xm:f>
            <xm:f>"A"</xm:f>
            <x14:dxf>
              <fill>
                <patternFill>
                  <bgColor rgb="FF00B050"/>
                </patternFill>
              </fill>
            </x14:dxf>
          </x14:cfRule>
          <xm:sqref>L33:M35</xm:sqref>
        </x14:conditionalFormatting>
        <x14:conditionalFormatting xmlns:xm="http://schemas.microsoft.com/office/excel/2006/main">
          <x14:cfRule type="containsText" priority="9" operator="containsText" id="{DEE1EC2C-14C7-446D-94D3-0AD0BE35E706}">
            <xm:f>NOT(ISERROR(SEARCH("R",L33)))</xm:f>
            <xm:f>"R"</xm:f>
            <x14:dxf>
              <fill>
                <patternFill>
                  <bgColor rgb="FFFF0000"/>
                </patternFill>
              </fill>
            </x14:dxf>
          </x14:cfRule>
          <xm:sqref>L33:M35</xm:sqref>
        </x14:conditionalFormatting>
        <x14:conditionalFormatting xmlns:xm="http://schemas.microsoft.com/office/excel/2006/main">
          <x14:cfRule type="containsText" priority="8" operator="containsText" id="{692CACED-4120-4949-AD2D-E8BBCCF89A25}">
            <xm:f>NOT(ISERROR(SEARCH("A",L37)))</xm:f>
            <xm:f>"A"</xm:f>
            <x14:dxf>
              <fill>
                <patternFill>
                  <bgColor rgb="FF00B050"/>
                </patternFill>
              </fill>
            </x14:dxf>
          </x14:cfRule>
          <xm:sqref>L37</xm:sqref>
        </x14:conditionalFormatting>
        <x14:conditionalFormatting xmlns:xm="http://schemas.microsoft.com/office/excel/2006/main">
          <x14:cfRule type="containsText" priority="7" operator="containsText" id="{B9373E5D-335A-4DC8-91D6-46B25E9BA366}">
            <xm:f>NOT(ISERROR(SEARCH("R",L37)))</xm:f>
            <xm:f>"R"</xm:f>
            <x14:dxf>
              <fill>
                <patternFill>
                  <bgColor rgb="FFFF0000"/>
                </patternFill>
              </fill>
            </x14:dxf>
          </x14:cfRule>
          <xm:sqref>L37</xm:sqref>
        </x14:conditionalFormatting>
        <x14:conditionalFormatting xmlns:xm="http://schemas.microsoft.com/office/excel/2006/main">
          <x14:cfRule type="containsText" priority="6" operator="containsText" id="{B121F86F-082F-48C4-B9CC-401F32882865}">
            <xm:f>NOT(ISERROR(SEARCH("A",M37)))</xm:f>
            <xm:f>"A"</xm:f>
            <x14:dxf>
              <fill>
                <patternFill>
                  <bgColor rgb="FF00B050"/>
                </patternFill>
              </fill>
            </x14:dxf>
          </x14:cfRule>
          <xm:sqref>M42:N46 M38:M41 N37:N42</xm:sqref>
        </x14:conditionalFormatting>
        <x14:conditionalFormatting xmlns:xm="http://schemas.microsoft.com/office/excel/2006/main">
          <x14:cfRule type="containsText" priority="5" operator="containsText" id="{8A4B6670-D5CA-4EB4-A34F-B2458FED84E7}">
            <xm:f>NOT(ISERROR(SEARCH("R",M37)))</xm:f>
            <xm:f>"R"</xm:f>
            <x14:dxf>
              <fill>
                <patternFill>
                  <bgColor rgb="FFFF0000"/>
                </patternFill>
              </fill>
            </x14:dxf>
          </x14:cfRule>
          <xm:sqref>M42:N46 M38:M41 N37:N42</xm:sqref>
        </x14:conditionalFormatting>
        <x14:conditionalFormatting xmlns:xm="http://schemas.microsoft.com/office/excel/2006/main">
          <x14:cfRule type="containsText" priority="4" operator="containsText" id="{1AA4712A-E9BF-4373-86DB-E1D7A935B58C}">
            <xm:f>NOT(ISERROR(SEARCH("A",L38)))</xm:f>
            <xm:f>"A"</xm:f>
            <x14:dxf>
              <fill>
                <patternFill>
                  <bgColor rgb="FF00B050"/>
                </patternFill>
              </fill>
            </x14:dxf>
          </x14:cfRule>
          <xm:sqref>L38:L46</xm:sqref>
        </x14:conditionalFormatting>
        <x14:conditionalFormatting xmlns:xm="http://schemas.microsoft.com/office/excel/2006/main">
          <x14:cfRule type="containsText" priority="3" operator="containsText" id="{8D6212A5-7C6B-43D6-82ED-6A21E387E59B}">
            <xm:f>NOT(ISERROR(SEARCH("R",L38)))</xm:f>
            <xm:f>"R"</xm:f>
            <x14:dxf>
              <fill>
                <patternFill>
                  <bgColor rgb="FFFF0000"/>
                </patternFill>
              </fill>
            </x14:dxf>
          </x14:cfRule>
          <xm:sqref>L38:L46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SHOP BPV</vt:lpstr>
      <vt:lpstr>'SHOP BPV'!Print_Area</vt:lpstr>
      <vt:lpstr>'SHOP BPV'!Print_Titles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anhkhoa</dc:creator>
  <cp:lastModifiedBy>Admin</cp:lastModifiedBy>
  <cp:lastPrinted>2018-09-27T08:13:20Z</cp:lastPrinted>
  <dcterms:created xsi:type="dcterms:W3CDTF">2018-08-29T01:29:32Z</dcterms:created>
  <dcterms:modified xsi:type="dcterms:W3CDTF">2019-04-28T04:20:37Z</dcterms:modified>
</cp:coreProperties>
</file>