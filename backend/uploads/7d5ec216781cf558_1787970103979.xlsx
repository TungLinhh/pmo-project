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" yWindow="-10" windowWidth="11520" windowHeight="9660"/>
  </bookViews>
  <sheets>
    <sheet name="TĐ HPV 1- BR" sheetId="1" r:id="rId1"/>
  </sheets>
  <definedNames>
    <definedName name="_xlnm.Print_Area" localSheetId="0">'TĐ HPV 1- BR'!$B$1:$AY$37</definedName>
    <definedName name="_xlnm.Print_Titles" localSheetId="0">'TĐ HPV 1- BR'!$14:$16</definedName>
  </definedNames>
  <calcPr calcId="145621"/>
</workbook>
</file>

<file path=xl/calcChain.xml><?xml version="1.0" encoding="utf-8"?>
<calcChain xmlns="http://schemas.openxmlformats.org/spreadsheetml/2006/main">
  <c r="D21" i="1" l="1"/>
  <c r="D22" i="1" s="1"/>
  <c r="D23" i="1" s="1"/>
  <c r="D24" i="1" s="1"/>
  <c r="D25" i="1" s="1"/>
  <c r="D34" i="1" l="1"/>
  <c r="D35" i="1" s="1"/>
  <c r="D36" i="1" s="1"/>
  <c r="D37" i="1" s="1"/>
  <c r="K34" i="1" l="1"/>
  <c r="K35" i="1"/>
  <c r="K36" i="1"/>
  <c r="K37" i="1"/>
  <c r="J34" i="1"/>
  <c r="J35" i="1"/>
  <c r="G35" i="1" s="1"/>
  <c r="J36" i="1"/>
  <c r="J37" i="1"/>
  <c r="J27" i="1"/>
  <c r="J28" i="1"/>
  <c r="J29" i="1"/>
  <c r="J30" i="1"/>
  <c r="J31" i="1"/>
  <c r="J32" i="1"/>
  <c r="J33" i="1"/>
  <c r="G37" i="1" l="1"/>
  <c r="G36" i="1"/>
  <c r="G34" i="1"/>
  <c r="K28" i="1" l="1"/>
  <c r="K29" i="1"/>
  <c r="K30" i="1"/>
  <c r="K31" i="1"/>
  <c r="K32" i="1"/>
  <c r="K33" i="1"/>
  <c r="K27" i="1"/>
  <c r="J21" i="1"/>
  <c r="K21" i="1"/>
  <c r="J22" i="1"/>
  <c r="K22" i="1"/>
  <c r="J23" i="1"/>
  <c r="K23" i="1"/>
  <c r="J24" i="1"/>
  <c r="K24" i="1"/>
  <c r="J25" i="1"/>
  <c r="K25" i="1"/>
  <c r="K20" i="1"/>
  <c r="J20" i="1"/>
  <c r="AY13" i="1"/>
  <c r="AG14" i="1"/>
  <c r="BA7" i="1" l="1"/>
  <c r="P16" i="1" l="1"/>
  <c r="I26" i="1"/>
  <c r="I19" i="1"/>
  <c r="P34" i="1" l="1"/>
  <c r="P37" i="1"/>
  <c r="P36" i="1"/>
  <c r="P35" i="1"/>
  <c r="I17" i="1"/>
  <c r="D28" i="1" l="1"/>
  <c r="D29" i="1" l="1"/>
  <c r="D30" i="1" l="1"/>
  <c r="K26" i="1" l="1"/>
  <c r="K19" i="1"/>
  <c r="G29" i="1"/>
  <c r="D31" i="1"/>
  <c r="G28" i="1"/>
  <c r="G20" i="1"/>
  <c r="G27" i="1"/>
  <c r="G21" i="1"/>
  <c r="K17" i="1" l="1"/>
  <c r="G30" i="1"/>
  <c r="D32" i="1"/>
  <c r="D33" i="1" l="1"/>
  <c r="G24" i="1" l="1"/>
  <c r="H19" i="1"/>
  <c r="G25" i="1" l="1"/>
  <c r="G23" i="1" l="1"/>
  <c r="O87" i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G22" i="1" l="1"/>
  <c r="J19" i="1"/>
  <c r="O63" i="1"/>
  <c r="H26" i="1" l="1"/>
  <c r="P32" i="1"/>
  <c r="P31" i="1"/>
  <c r="P27" i="1"/>
  <c r="P28" i="1"/>
  <c r="P33" i="1"/>
  <c r="P29" i="1"/>
  <c r="P21" i="1"/>
  <c r="P25" i="1"/>
  <c r="P22" i="1"/>
  <c r="P30" i="1"/>
  <c r="P26" i="1"/>
  <c r="P23" i="1"/>
  <c r="P19" i="1"/>
  <c r="P24" i="1"/>
  <c r="P20" i="1"/>
  <c r="O62" i="1"/>
  <c r="Q16" i="1"/>
  <c r="P89" i="1"/>
  <c r="Q35" i="1" l="1"/>
  <c r="Q34" i="1"/>
  <c r="Q37" i="1"/>
  <c r="Q36" i="1"/>
  <c r="G31" i="1"/>
  <c r="P91" i="1"/>
  <c r="G32" i="1"/>
  <c r="G33" i="1"/>
  <c r="P90" i="1"/>
  <c r="Q33" i="1"/>
  <c r="Q32" i="1"/>
  <c r="Q28" i="1"/>
  <c r="Q24" i="1"/>
  <c r="Q29" i="1"/>
  <c r="Q25" i="1"/>
  <c r="Q30" i="1"/>
  <c r="Q26" i="1"/>
  <c r="Q22" i="1"/>
  <c r="Q27" i="1"/>
  <c r="Q23" i="1"/>
  <c r="Q19" i="1"/>
  <c r="Q31" i="1"/>
  <c r="Q20" i="1"/>
  <c r="Q21" i="1"/>
  <c r="P92" i="1"/>
  <c r="O61" i="1"/>
  <c r="R16" i="1"/>
  <c r="Q89" i="1"/>
  <c r="R35" i="1" l="1"/>
  <c r="R34" i="1"/>
  <c r="R37" i="1"/>
  <c r="R36" i="1"/>
  <c r="Q91" i="1"/>
  <c r="Q92" i="1"/>
  <c r="R29" i="1"/>
  <c r="R25" i="1"/>
  <c r="R33" i="1"/>
  <c r="R30" i="1"/>
  <c r="R26" i="1"/>
  <c r="R31" i="1"/>
  <c r="R27" i="1"/>
  <c r="R28" i="1"/>
  <c r="R23" i="1"/>
  <c r="R19" i="1"/>
  <c r="R20" i="1"/>
  <c r="R24" i="1"/>
  <c r="R21" i="1"/>
  <c r="R32" i="1"/>
  <c r="R22" i="1"/>
  <c r="Q90" i="1"/>
  <c r="O60" i="1"/>
  <c r="S16" i="1"/>
  <c r="R89" i="1"/>
  <c r="S37" i="1" l="1"/>
  <c r="S36" i="1"/>
  <c r="S35" i="1"/>
  <c r="S34" i="1"/>
  <c r="R92" i="1"/>
  <c r="R90" i="1"/>
  <c r="R91" i="1"/>
  <c r="S33" i="1"/>
  <c r="S30" i="1"/>
  <c r="S26" i="1"/>
  <c r="S31" i="1"/>
  <c r="S27" i="1"/>
  <c r="S32" i="1"/>
  <c r="S28" i="1"/>
  <c r="S25" i="1"/>
  <c r="S20" i="1"/>
  <c r="S24" i="1"/>
  <c r="S21" i="1"/>
  <c r="S29" i="1"/>
  <c r="S22" i="1"/>
  <c r="S23" i="1"/>
  <c r="S19" i="1"/>
  <c r="O59" i="1"/>
  <c r="T16" i="1"/>
  <c r="S89" i="1"/>
  <c r="T34" i="1" l="1"/>
  <c r="T37" i="1"/>
  <c r="T36" i="1"/>
  <c r="T35" i="1"/>
  <c r="J26" i="1"/>
  <c r="S91" i="1"/>
  <c r="S92" i="1"/>
  <c r="T32" i="1"/>
  <c r="T31" i="1"/>
  <c r="T27" i="1"/>
  <c r="T28" i="1"/>
  <c r="T24" i="1"/>
  <c r="T29" i="1"/>
  <c r="T33" i="1"/>
  <c r="T21" i="1"/>
  <c r="T26" i="1"/>
  <c r="T22" i="1"/>
  <c r="T30" i="1"/>
  <c r="T23" i="1"/>
  <c r="T19" i="1"/>
  <c r="T25" i="1"/>
  <c r="T20" i="1"/>
  <c r="S90" i="1"/>
  <c r="O58" i="1"/>
  <c r="U16" i="1"/>
  <c r="T89" i="1"/>
  <c r="U35" i="1" l="1"/>
  <c r="U34" i="1"/>
  <c r="U37" i="1"/>
  <c r="U36" i="1"/>
  <c r="T91" i="1"/>
  <c r="T90" i="1"/>
  <c r="T92" i="1"/>
  <c r="U33" i="1"/>
  <c r="U28" i="1"/>
  <c r="U24" i="1"/>
  <c r="U32" i="1"/>
  <c r="U29" i="1"/>
  <c r="U25" i="1"/>
  <c r="U30" i="1"/>
  <c r="U26" i="1"/>
  <c r="U27" i="1"/>
  <c r="U22" i="1"/>
  <c r="U31" i="1"/>
  <c r="U23" i="1"/>
  <c r="U19" i="1"/>
  <c r="U20" i="1"/>
  <c r="U21" i="1"/>
  <c r="O57" i="1"/>
  <c r="V16" i="1"/>
  <c r="U89" i="1"/>
  <c r="V36" i="1" l="1"/>
  <c r="V35" i="1"/>
  <c r="V34" i="1"/>
  <c r="V37" i="1"/>
  <c r="U90" i="1"/>
  <c r="U92" i="1"/>
  <c r="V32" i="1"/>
  <c r="V29" i="1"/>
  <c r="V25" i="1"/>
  <c r="V30" i="1"/>
  <c r="V26" i="1"/>
  <c r="V33" i="1"/>
  <c r="V31" i="1"/>
  <c r="V27" i="1"/>
  <c r="V24" i="1"/>
  <c r="V23" i="1"/>
  <c r="V19" i="1"/>
  <c r="V20" i="1"/>
  <c r="V28" i="1"/>
  <c r="V21" i="1"/>
  <c r="V22" i="1"/>
  <c r="U91" i="1"/>
  <c r="O56" i="1"/>
  <c r="W16" i="1"/>
  <c r="V89" i="1"/>
  <c r="W36" i="1" l="1"/>
  <c r="W35" i="1"/>
  <c r="W34" i="1"/>
  <c r="W37" i="1"/>
  <c r="V92" i="1"/>
  <c r="V90" i="1"/>
  <c r="W31" i="1"/>
  <c r="W30" i="1"/>
  <c r="W26" i="1"/>
  <c r="W33" i="1"/>
  <c r="W27" i="1"/>
  <c r="W28" i="1"/>
  <c r="W20" i="1"/>
  <c r="W21" i="1"/>
  <c r="W23" i="1"/>
  <c r="W32" i="1"/>
  <c r="W29" i="1"/>
  <c r="W25" i="1"/>
  <c r="W22" i="1"/>
  <c r="W24" i="1"/>
  <c r="W19" i="1"/>
  <c r="V91" i="1"/>
  <c r="O55" i="1"/>
  <c r="X16" i="1"/>
  <c r="W89" i="1"/>
  <c r="X34" i="1" l="1"/>
  <c r="X37" i="1"/>
  <c r="X36" i="1"/>
  <c r="X35" i="1"/>
  <c r="W91" i="1"/>
  <c r="X32" i="1"/>
  <c r="X33" i="1"/>
  <c r="X27" i="1"/>
  <c r="X31" i="1"/>
  <c r="X28" i="1"/>
  <c r="X24" i="1"/>
  <c r="X29" i="1"/>
  <c r="X26" i="1"/>
  <c r="X21" i="1"/>
  <c r="X30" i="1"/>
  <c r="X25" i="1"/>
  <c r="X22" i="1"/>
  <c r="X23" i="1"/>
  <c r="X19" i="1"/>
  <c r="X20" i="1"/>
  <c r="W90" i="1"/>
  <c r="W92" i="1"/>
  <c r="O54" i="1"/>
  <c r="Y16" i="1"/>
  <c r="X89" i="1"/>
  <c r="Y35" i="1" l="1"/>
  <c r="Y34" i="1"/>
  <c r="Y37" i="1"/>
  <c r="Y36" i="1"/>
  <c r="H17" i="1"/>
  <c r="X92" i="1"/>
  <c r="X90" i="1"/>
  <c r="Y33" i="1"/>
  <c r="Y31" i="1"/>
  <c r="Y28" i="1"/>
  <c r="Y24" i="1"/>
  <c r="Y29" i="1"/>
  <c r="Y25" i="1"/>
  <c r="Y32" i="1"/>
  <c r="Y30" i="1"/>
  <c r="Y26" i="1"/>
  <c r="Y22" i="1"/>
  <c r="Y23" i="1"/>
  <c r="Y19" i="1"/>
  <c r="Y20" i="1"/>
  <c r="Y27" i="1"/>
  <c r="Y21" i="1"/>
  <c r="X91" i="1"/>
  <c r="O53" i="1"/>
  <c r="Z16" i="1"/>
  <c r="Y89" i="1"/>
  <c r="Z35" i="1" l="1"/>
  <c r="Z34" i="1"/>
  <c r="Z37" i="1"/>
  <c r="Z36" i="1"/>
  <c r="J17" i="1"/>
  <c r="Y91" i="1"/>
  <c r="Y90" i="1"/>
  <c r="Y92" i="1"/>
  <c r="Z29" i="1"/>
  <c r="Z25" i="1"/>
  <c r="Z32" i="1"/>
  <c r="Z30" i="1"/>
  <c r="Z26" i="1"/>
  <c r="Z27" i="1"/>
  <c r="Z31" i="1"/>
  <c r="Z23" i="1"/>
  <c r="Z19" i="1"/>
  <c r="Z20" i="1"/>
  <c r="Z28" i="1"/>
  <c r="Z24" i="1"/>
  <c r="Z21" i="1"/>
  <c r="Z33" i="1"/>
  <c r="Z22" i="1"/>
  <c r="O52" i="1"/>
  <c r="AA16" i="1"/>
  <c r="Z89" i="1"/>
  <c r="AA37" i="1" l="1"/>
  <c r="AA36" i="1"/>
  <c r="AA35" i="1"/>
  <c r="AA34" i="1"/>
  <c r="Z90" i="1"/>
  <c r="Z92" i="1"/>
  <c r="AA31" i="1"/>
  <c r="AA32" i="1"/>
  <c r="AA30" i="1"/>
  <c r="AA26" i="1"/>
  <c r="AA27" i="1"/>
  <c r="AA33" i="1"/>
  <c r="AA28" i="1"/>
  <c r="AA25" i="1"/>
  <c r="AA20" i="1"/>
  <c r="AA29" i="1"/>
  <c r="AA24" i="1"/>
  <c r="AA21" i="1"/>
  <c r="AA22" i="1"/>
  <c r="AA23" i="1"/>
  <c r="AA19" i="1"/>
  <c r="Z91" i="1"/>
  <c r="W64" i="1"/>
  <c r="X54" i="1"/>
  <c r="R54" i="1"/>
  <c r="U63" i="1"/>
  <c r="O51" i="1"/>
  <c r="AB16" i="1"/>
  <c r="AA89" i="1"/>
  <c r="AB34" i="1" l="1"/>
  <c r="AB37" i="1"/>
  <c r="AB36" i="1"/>
  <c r="AB35" i="1"/>
  <c r="AA91" i="1"/>
  <c r="AA90" i="1"/>
  <c r="AA58" i="1" s="1"/>
  <c r="AA92" i="1"/>
  <c r="AB32" i="1"/>
  <c r="AB27" i="1"/>
  <c r="AB33" i="1"/>
  <c r="AB28" i="1"/>
  <c r="AB24" i="1"/>
  <c r="AB31" i="1"/>
  <c r="AB29" i="1"/>
  <c r="AB30" i="1"/>
  <c r="AB21" i="1"/>
  <c r="AB22" i="1"/>
  <c r="AB26" i="1"/>
  <c r="AB25" i="1"/>
  <c r="AB23" i="1"/>
  <c r="AB19" i="1"/>
  <c r="AB20" i="1"/>
  <c r="S83" i="1"/>
  <c r="Y57" i="1"/>
  <c r="P64" i="1"/>
  <c r="Y73" i="1"/>
  <c r="Y83" i="1"/>
  <c r="P80" i="1"/>
  <c r="P69" i="1"/>
  <c r="P57" i="1"/>
  <c r="P87" i="1"/>
  <c r="Y70" i="1"/>
  <c r="Y66" i="1"/>
  <c r="Y72" i="1"/>
  <c r="Y86" i="1"/>
  <c r="P65" i="1"/>
  <c r="P54" i="1"/>
  <c r="P74" i="1"/>
  <c r="P77" i="1"/>
  <c r="Y65" i="1"/>
  <c r="Y82" i="1"/>
  <c r="Y85" i="1"/>
  <c r="P60" i="1"/>
  <c r="P62" i="1"/>
  <c r="P76" i="1"/>
  <c r="P86" i="1"/>
  <c r="Y71" i="1"/>
  <c r="Y74" i="1"/>
  <c r="Y80" i="1"/>
  <c r="P59" i="1"/>
  <c r="P66" i="1"/>
  <c r="P79" i="1"/>
  <c r="P84" i="1"/>
  <c r="T68" i="1"/>
  <c r="T87" i="1"/>
  <c r="T77" i="1"/>
  <c r="U75" i="1"/>
  <c r="T73" i="1"/>
  <c r="T85" i="1"/>
  <c r="Q73" i="1"/>
  <c r="T75" i="1"/>
  <c r="U76" i="1"/>
  <c r="U66" i="1"/>
  <c r="U83" i="1"/>
  <c r="U71" i="1"/>
  <c r="Y67" i="1"/>
  <c r="Y75" i="1"/>
  <c r="Y76" i="1"/>
  <c r="Y78" i="1"/>
  <c r="Y81" i="1"/>
  <c r="Y84" i="1"/>
  <c r="P61" i="1"/>
  <c r="P55" i="1"/>
  <c r="P73" i="1"/>
  <c r="P67" i="1"/>
  <c r="P68" i="1"/>
  <c r="P75" i="1"/>
  <c r="P81" i="1"/>
  <c r="P85" i="1"/>
  <c r="Y68" i="1"/>
  <c r="Y69" i="1"/>
  <c r="Y77" i="1"/>
  <c r="Y79" i="1"/>
  <c r="Y87" i="1"/>
  <c r="Y88" i="1"/>
  <c r="P56" i="1"/>
  <c r="P71" i="1"/>
  <c r="P63" i="1"/>
  <c r="P58" i="1"/>
  <c r="P70" i="1"/>
  <c r="P72" i="1"/>
  <c r="P78" i="1"/>
  <c r="P82" i="1"/>
  <c r="P83" i="1"/>
  <c r="V74" i="1"/>
  <c r="X86" i="1"/>
  <c r="T69" i="1"/>
  <c r="T66" i="1"/>
  <c r="T72" i="1"/>
  <c r="T79" i="1"/>
  <c r="T81" i="1"/>
  <c r="T88" i="1"/>
  <c r="Q78" i="1"/>
  <c r="U74" i="1"/>
  <c r="U73" i="1"/>
  <c r="U85" i="1"/>
  <c r="T67" i="1"/>
  <c r="T70" i="1"/>
  <c r="T76" i="1"/>
  <c r="T80" i="1"/>
  <c r="T82" i="1"/>
  <c r="T84" i="1"/>
  <c r="V82" i="1"/>
  <c r="Q66" i="1"/>
  <c r="Q81" i="1"/>
  <c r="T53" i="1"/>
  <c r="U67" i="1"/>
  <c r="U72" i="1"/>
  <c r="T65" i="1"/>
  <c r="T74" i="1"/>
  <c r="T71" i="1"/>
  <c r="T78" i="1"/>
  <c r="T86" i="1"/>
  <c r="T83" i="1"/>
  <c r="Q75" i="1"/>
  <c r="R68" i="1"/>
  <c r="T55" i="1"/>
  <c r="V75" i="1"/>
  <c r="X69" i="1"/>
  <c r="V65" i="1"/>
  <c r="V69" i="1"/>
  <c r="V77" i="1"/>
  <c r="V81" i="1"/>
  <c r="X81" i="1"/>
  <c r="V66" i="1"/>
  <c r="V84" i="1"/>
  <c r="V68" i="1"/>
  <c r="V78" i="1"/>
  <c r="V80" i="1"/>
  <c r="V86" i="1"/>
  <c r="X78" i="1"/>
  <c r="V67" i="1"/>
  <c r="V72" i="1"/>
  <c r="V76" i="1"/>
  <c r="V83" i="1"/>
  <c r="V88" i="1"/>
  <c r="X68" i="1"/>
  <c r="X83" i="1"/>
  <c r="P88" i="1"/>
  <c r="Q70" i="1"/>
  <c r="Q69" i="1"/>
  <c r="Q83" i="1"/>
  <c r="Q74" i="1"/>
  <c r="Q72" i="1"/>
  <c r="Q80" i="1"/>
  <c r="Q60" i="1"/>
  <c r="Q64" i="1"/>
  <c r="Q65" i="1"/>
  <c r="Q77" i="1"/>
  <c r="Q82" i="1"/>
  <c r="Q85" i="1"/>
  <c r="R79" i="1"/>
  <c r="Q61" i="1"/>
  <c r="Q68" i="1"/>
  <c r="Q67" i="1"/>
  <c r="Q71" i="1"/>
  <c r="Q76" i="1"/>
  <c r="Q86" i="1"/>
  <c r="Q84" i="1"/>
  <c r="Q52" i="1"/>
  <c r="Q56" i="1"/>
  <c r="Q79" i="1"/>
  <c r="Q87" i="1"/>
  <c r="Q88" i="1"/>
  <c r="R78" i="1"/>
  <c r="Q53" i="1"/>
  <c r="Q54" i="1"/>
  <c r="Q58" i="1"/>
  <c r="R63" i="1"/>
  <c r="R67" i="1"/>
  <c r="Q57" i="1"/>
  <c r="Q62" i="1"/>
  <c r="R57" i="1"/>
  <c r="R82" i="1"/>
  <c r="Q55" i="1"/>
  <c r="Q59" i="1"/>
  <c r="Q63" i="1"/>
  <c r="T59" i="1"/>
  <c r="T57" i="1"/>
  <c r="X62" i="1"/>
  <c r="T61" i="1"/>
  <c r="T64" i="1"/>
  <c r="T54" i="1"/>
  <c r="T58" i="1"/>
  <c r="T62" i="1"/>
  <c r="Y52" i="1"/>
  <c r="X58" i="1"/>
  <c r="T56" i="1"/>
  <c r="T60" i="1"/>
  <c r="T63" i="1"/>
  <c r="S70" i="1"/>
  <c r="Y60" i="1"/>
  <c r="R71" i="1"/>
  <c r="R66" i="1"/>
  <c r="R77" i="1"/>
  <c r="R83" i="1"/>
  <c r="R85" i="1"/>
  <c r="R61" i="1"/>
  <c r="R69" i="1"/>
  <c r="R70" i="1"/>
  <c r="R75" i="1"/>
  <c r="R87" i="1"/>
  <c r="R88" i="1"/>
  <c r="R55" i="1"/>
  <c r="R64" i="1"/>
  <c r="R65" i="1"/>
  <c r="R72" i="1"/>
  <c r="R73" i="1"/>
  <c r="R80" i="1"/>
  <c r="R81" i="1"/>
  <c r="R53" i="1"/>
  <c r="R58" i="1"/>
  <c r="R74" i="1"/>
  <c r="R76" i="1"/>
  <c r="R84" i="1"/>
  <c r="R86" i="1"/>
  <c r="R56" i="1"/>
  <c r="R60" i="1"/>
  <c r="Y63" i="1"/>
  <c r="Y56" i="1"/>
  <c r="V60" i="1"/>
  <c r="Y54" i="1"/>
  <c r="Y64" i="1"/>
  <c r="V56" i="1"/>
  <c r="Y59" i="1"/>
  <c r="V59" i="1"/>
  <c r="S81" i="1"/>
  <c r="W71" i="1"/>
  <c r="U58" i="1"/>
  <c r="V63" i="1"/>
  <c r="W78" i="1"/>
  <c r="S65" i="1"/>
  <c r="S60" i="1"/>
  <c r="W68" i="1"/>
  <c r="W81" i="1"/>
  <c r="S71" i="1"/>
  <c r="W54" i="1"/>
  <c r="W65" i="1"/>
  <c r="W83" i="1"/>
  <c r="S74" i="1"/>
  <c r="W62" i="1"/>
  <c r="R59" i="1"/>
  <c r="R62" i="1"/>
  <c r="W58" i="1"/>
  <c r="U64" i="1"/>
  <c r="V55" i="1"/>
  <c r="V64" i="1"/>
  <c r="T52" i="1"/>
  <c r="X67" i="1"/>
  <c r="X74" i="1"/>
  <c r="X71" i="1"/>
  <c r="X77" i="1"/>
  <c r="X85" i="1"/>
  <c r="X87" i="1"/>
  <c r="U53" i="1"/>
  <c r="X55" i="1"/>
  <c r="X59" i="1"/>
  <c r="X64" i="1"/>
  <c r="U55" i="1"/>
  <c r="U59" i="1"/>
  <c r="U87" i="1"/>
  <c r="U88" i="1"/>
  <c r="U70" i="1"/>
  <c r="U65" i="1"/>
  <c r="U77" i="1"/>
  <c r="U79" i="1"/>
  <c r="U86" i="1"/>
  <c r="U80" i="1"/>
  <c r="X65" i="1"/>
  <c r="X66" i="1"/>
  <c r="X72" i="1"/>
  <c r="X75" i="1"/>
  <c r="X80" i="1"/>
  <c r="X88" i="1"/>
  <c r="X53" i="1"/>
  <c r="X56" i="1"/>
  <c r="X60" i="1"/>
  <c r="X63" i="1"/>
  <c r="U54" i="1"/>
  <c r="U56" i="1"/>
  <c r="U60" i="1"/>
  <c r="U68" i="1"/>
  <c r="U69" i="1"/>
  <c r="U82" i="1"/>
  <c r="U78" i="1"/>
  <c r="U81" i="1"/>
  <c r="U84" i="1"/>
  <c r="X73" i="1"/>
  <c r="X70" i="1"/>
  <c r="X76" i="1"/>
  <c r="X79" i="1"/>
  <c r="X82" i="1"/>
  <c r="X84" i="1"/>
  <c r="X57" i="1"/>
  <c r="X61" i="1"/>
  <c r="U57" i="1"/>
  <c r="U61" i="1"/>
  <c r="U62" i="1"/>
  <c r="S87" i="1"/>
  <c r="V71" i="1"/>
  <c r="V70" i="1"/>
  <c r="V73" i="1"/>
  <c r="V79" i="1"/>
  <c r="V87" i="1"/>
  <c r="V85" i="1"/>
  <c r="W72" i="1"/>
  <c r="W67" i="1"/>
  <c r="W74" i="1"/>
  <c r="W76" i="1"/>
  <c r="W84" i="1"/>
  <c r="W86" i="1"/>
  <c r="S66" i="1"/>
  <c r="S73" i="1"/>
  <c r="S80" i="1"/>
  <c r="S76" i="1"/>
  <c r="S84" i="1"/>
  <c r="S86" i="1"/>
  <c r="S52" i="1"/>
  <c r="W53" i="1"/>
  <c r="V53" i="1"/>
  <c r="Y55" i="1"/>
  <c r="Y62" i="1"/>
  <c r="W57" i="1"/>
  <c r="W61" i="1"/>
  <c r="S57" i="1"/>
  <c r="V54" i="1"/>
  <c r="V58" i="1"/>
  <c r="V61" i="1"/>
  <c r="W69" i="1"/>
  <c r="W75" i="1"/>
  <c r="W77" i="1"/>
  <c r="W85" i="1"/>
  <c r="W87" i="1"/>
  <c r="S68" i="1"/>
  <c r="S69" i="1"/>
  <c r="S75" i="1"/>
  <c r="S78" i="1"/>
  <c r="S85" i="1"/>
  <c r="W55" i="1"/>
  <c r="W59" i="1"/>
  <c r="W63" i="1"/>
  <c r="W66" i="1"/>
  <c r="W70" i="1"/>
  <c r="W73" i="1"/>
  <c r="W79" i="1"/>
  <c r="W80" i="1"/>
  <c r="W88" i="1"/>
  <c r="W82" i="1"/>
  <c r="S72" i="1"/>
  <c r="S67" i="1"/>
  <c r="S79" i="1"/>
  <c r="S77" i="1"/>
  <c r="S88" i="1"/>
  <c r="S82" i="1"/>
  <c r="Y53" i="1"/>
  <c r="V52" i="1"/>
  <c r="S53" i="1"/>
  <c r="S54" i="1"/>
  <c r="Y58" i="1"/>
  <c r="Y61" i="1"/>
  <c r="W56" i="1"/>
  <c r="W60" i="1"/>
  <c r="V57" i="1"/>
  <c r="V62" i="1"/>
  <c r="S62" i="1"/>
  <c r="S55" i="1"/>
  <c r="S63" i="1"/>
  <c r="S56" i="1"/>
  <c r="S59" i="1"/>
  <c r="S64" i="1"/>
  <c r="S58" i="1"/>
  <c r="S61" i="1"/>
  <c r="Z88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W52" i="1"/>
  <c r="X52" i="1"/>
  <c r="U52" i="1"/>
  <c r="R52" i="1"/>
  <c r="O50" i="1"/>
  <c r="X51" i="1" s="1"/>
  <c r="Z65" i="1"/>
  <c r="Z70" i="1"/>
  <c r="Z77" i="1"/>
  <c r="Z80" i="1"/>
  <c r="Z67" i="1"/>
  <c r="Z68" i="1"/>
  <c r="Z74" i="1"/>
  <c r="Z76" i="1"/>
  <c r="Z84" i="1"/>
  <c r="Z69" i="1"/>
  <c r="Z72" i="1"/>
  <c r="Z78" i="1"/>
  <c r="Z75" i="1"/>
  <c r="Z83" i="1"/>
  <c r="Z71" i="1"/>
  <c r="Z66" i="1"/>
  <c r="Z73" i="1"/>
  <c r="Z79" i="1"/>
  <c r="Z86" i="1"/>
  <c r="Z81" i="1"/>
  <c r="Z87" i="1"/>
  <c r="Z85" i="1"/>
  <c r="Z82" i="1"/>
  <c r="AC16" i="1"/>
  <c r="AB89" i="1"/>
  <c r="AC35" i="1" l="1"/>
  <c r="AC34" i="1"/>
  <c r="AC37" i="1"/>
  <c r="AC36" i="1"/>
  <c r="AB92" i="1"/>
  <c r="AC33" i="1"/>
  <c r="AC28" i="1"/>
  <c r="AC24" i="1"/>
  <c r="AC31" i="1"/>
  <c r="AC29" i="1"/>
  <c r="AC25" i="1"/>
  <c r="AC30" i="1"/>
  <c r="AC26" i="1"/>
  <c r="AC22" i="1"/>
  <c r="AC32" i="1"/>
  <c r="AC23" i="1"/>
  <c r="AC19" i="1"/>
  <c r="AC27" i="1"/>
  <c r="AC20" i="1"/>
  <c r="AC21" i="1"/>
  <c r="AB90" i="1"/>
  <c r="AB51" i="1" s="1"/>
  <c r="AB91" i="1"/>
  <c r="R51" i="1"/>
  <c r="U51" i="1"/>
  <c r="W51" i="1"/>
  <c r="AA64" i="1"/>
  <c r="AA63" i="1"/>
  <c r="AA62" i="1"/>
  <c r="AA61" i="1"/>
  <c r="AA60" i="1"/>
  <c r="AA59" i="1"/>
  <c r="AA57" i="1"/>
  <c r="AA56" i="1"/>
  <c r="AA55" i="1"/>
  <c r="AA54" i="1"/>
  <c r="AA52" i="1"/>
  <c r="AA53" i="1"/>
  <c r="V51" i="1"/>
  <c r="Z51" i="1"/>
  <c r="AA51" i="1"/>
  <c r="Y51" i="1"/>
  <c r="S51" i="1"/>
  <c r="T51" i="1"/>
  <c r="Q51" i="1"/>
  <c r="O49" i="1"/>
  <c r="V50" i="1" s="1"/>
  <c r="AD16" i="1"/>
  <c r="AC89" i="1"/>
  <c r="AA86" i="1"/>
  <c r="AA82" i="1"/>
  <c r="AA87" i="1"/>
  <c r="AA83" i="1"/>
  <c r="AA84" i="1"/>
  <c r="AA88" i="1"/>
  <c r="AA85" i="1"/>
  <c r="AA81" i="1"/>
  <c r="AA76" i="1"/>
  <c r="AA77" i="1"/>
  <c r="AA78" i="1"/>
  <c r="AA74" i="1"/>
  <c r="AA80" i="1"/>
  <c r="AA79" i="1"/>
  <c r="AA75" i="1"/>
  <c r="AA71" i="1"/>
  <c r="AA73" i="1"/>
  <c r="AA67" i="1"/>
  <c r="AA69" i="1"/>
  <c r="AA65" i="1"/>
  <c r="AA66" i="1"/>
  <c r="AA68" i="1"/>
  <c r="AA70" i="1"/>
  <c r="AA72" i="1"/>
  <c r="AD36" i="1" l="1"/>
  <c r="AD35" i="1"/>
  <c r="AD34" i="1"/>
  <c r="AD37" i="1"/>
  <c r="AD33" i="1"/>
  <c r="AD31" i="1"/>
  <c r="AD29" i="1"/>
  <c r="AD25" i="1"/>
  <c r="AD30" i="1"/>
  <c r="AD26" i="1"/>
  <c r="AD32" i="1"/>
  <c r="AD27" i="1"/>
  <c r="AD24" i="1"/>
  <c r="AD23" i="1"/>
  <c r="AD19" i="1"/>
  <c r="AD28" i="1"/>
  <c r="AD20" i="1"/>
  <c r="AD21" i="1"/>
  <c r="AD22" i="1"/>
  <c r="AC91" i="1"/>
  <c r="AC92" i="1"/>
  <c r="AC90" i="1"/>
  <c r="AC61" i="1" s="1"/>
  <c r="X50" i="1"/>
  <c r="AA50" i="1"/>
  <c r="U50" i="1"/>
  <c r="AB63" i="1"/>
  <c r="AB64" i="1"/>
  <c r="AB61" i="1"/>
  <c r="AB62" i="1"/>
  <c r="AB59" i="1"/>
  <c r="AB60" i="1"/>
  <c r="AB58" i="1"/>
  <c r="AB57" i="1"/>
  <c r="AB56" i="1"/>
  <c r="AB54" i="1"/>
  <c r="AB55" i="1"/>
  <c r="AB53" i="1"/>
  <c r="AB52" i="1"/>
  <c r="R50" i="1"/>
  <c r="S50" i="1"/>
  <c r="T50" i="1"/>
  <c r="Q50" i="1"/>
  <c r="O48" i="1"/>
  <c r="U49" i="1" s="1"/>
  <c r="AB50" i="1"/>
  <c r="Y50" i="1"/>
  <c r="Z50" i="1"/>
  <c r="W50" i="1"/>
  <c r="AE16" i="1"/>
  <c r="AD89" i="1"/>
  <c r="AB87" i="1"/>
  <c r="AB83" i="1"/>
  <c r="AB79" i="1"/>
  <c r="AB84" i="1"/>
  <c r="AB80" i="1"/>
  <c r="AB88" i="1"/>
  <c r="AB85" i="1"/>
  <c r="AB86" i="1"/>
  <c r="AB82" i="1"/>
  <c r="AB77" i="1"/>
  <c r="AB78" i="1"/>
  <c r="AB81" i="1"/>
  <c r="AB75" i="1"/>
  <c r="AB71" i="1"/>
  <c r="AB76" i="1"/>
  <c r="AB72" i="1"/>
  <c r="AB68" i="1"/>
  <c r="AB70" i="1"/>
  <c r="AB66" i="1"/>
  <c r="AB65" i="1"/>
  <c r="AB74" i="1"/>
  <c r="AB73" i="1"/>
  <c r="AB67" i="1"/>
  <c r="AB69" i="1"/>
  <c r="AE36" i="1" l="1"/>
  <c r="AE35" i="1"/>
  <c r="AE34" i="1"/>
  <c r="AE37" i="1"/>
  <c r="AD92" i="1"/>
  <c r="AD90" i="1"/>
  <c r="AD78" i="1" s="1"/>
  <c r="AE31" i="1"/>
  <c r="AE30" i="1"/>
  <c r="AE26" i="1"/>
  <c r="AE32" i="1"/>
  <c r="AE27" i="1"/>
  <c r="AE28" i="1"/>
  <c r="AE29" i="1"/>
  <c r="AE20" i="1"/>
  <c r="AE21" i="1"/>
  <c r="AE24" i="1"/>
  <c r="AE23" i="1"/>
  <c r="AE33" i="1"/>
  <c r="AE25" i="1"/>
  <c r="AE22" i="1"/>
  <c r="AE19" i="1"/>
  <c r="AD91" i="1"/>
  <c r="R49" i="1"/>
  <c r="W49" i="1"/>
  <c r="Z49" i="1"/>
  <c r="AC50" i="1"/>
  <c r="AC63" i="1"/>
  <c r="AC64" i="1"/>
  <c r="AC62" i="1"/>
  <c r="AC60" i="1"/>
  <c r="AC59" i="1"/>
  <c r="AC58" i="1"/>
  <c r="AC57" i="1"/>
  <c r="AC56" i="1"/>
  <c r="AC55" i="1"/>
  <c r="AC54" i="1"/>
  <c r="AC53" i="1"/>
  <c r="AC52" i="1"/>
  <c r="AC51" i="1"/>
  <c r="X49" i="1"/>
  <c r="AB49" i="1"/>
  <c r="V49" i="1"/>
  <c r="S49" i="1"/>
  <c r="Q49" i="1"/>
  <c r="T49" i="1"/>
  <c r="AA49" i="1"/>
  <c r="Y49" i="1"/>
  <c r="AC49" i="1"/>
  <c r="O47" i="1"/>
  <c r="Y48" i="1" s="1"/>
  <c r="AF16" i="1"/>
  <c r="AE89" i="1"/>
  <c r="AC84" i="1"/>
  <c r="AC80" i="1"/>
  <c r="AC88" i="1"/>
  <c r="AC85" i="1"/>
  <c r="AC81" i="1"/>
  <c r="AC86" i="1"/>
  <c r="AC87" i="1"/>
  <c r="AC83" i="1"/>
  <c r="AC78" i="1"/>
  <c r="AC74" i="1"/>
  <c r="AC82" i="1"/>
  <c r="AC79" i="1"/>
  <c r="AC76" i="1"/>
  <c r="AC72" i="1"/>
  <c r="AC77" i="1"/>
  <c r="AC73" i="1"/>
  <c r="AC69" i="1"/>
  <c r="AC65" i="1"/>
  <c r="AC75" i="1"/>
  <c r="AC71" i="1"/>
  <c r="AC67" i="1"/>
  <c r="AC68" i="1"/>
  <c r="AC70" i="1"/>
  <c r="AC66" i="1"/>
  <c r="AF34" i="1" l="1"/>
  <c r="AF37" i="1"/>
  <c r="AF36" i="1"/>
  <c r="AF35" i="1"/>
  <c r="AF32" i="1"/>
  <c r="AF27" i="1"/>
  <c r="AF28" i="1"/>
  <c r="AF24" i="1"/>
  <c r="AF33" i="1"/>
  <c r="AF29" i="1"/>
  <c r="AF21" i="1"/>
  <c r="AF25" i="1"/>
  <c r="AF22" i="1"/>
  <c r="AF31" i="1"/>
  <c r="AF26" i="1"/>
  <c r="AF23" i="1"/>
  <c r="AF19" i="1"/>
  <c r="AF30" i="1"/>
  <c r="AF20" i="1"/>
  <c r="AE90" i="1"/>
  <c r="AE64" i="1" s="1"/>
  <c r="AE92" i="1"/>
  <c r="AE91" i="1"/>
  <c r="AD50" i="1"/>
  <c r="AD83" i="1"/>
  <c r="AD65" i="1"/>
  <c r="AD66" i="1"/>
  <c r="AD81" i="1"/>
  <c r="AD71" i="1"/>
  <c r="AD79" i="1"/>
  <c r="AD69" i="1"/>
  <c r="AD72" i="1"/>
  <c r="AD80" i="1"/>
  <c r="AD88" i="1"/>
  <c r="AD68" i="1"/>
  <c r="AD77" i="1"/>
  <c r="AD82" i="1"/>
  <c r="AD74" i="1"/>
  <c r="AD76" i="1"/>
  <c r="AD84" i="1"/>
  <c r="AD86" i="1"/>
  <c r="AD49" i="1"/>
  <c r="AD67" i="1"/>
  <c r="AD70" i="1"/>
  <c r="AD73" i="1"/>
  <c r="AD75" i="1"/>
  <c r="AD87" i="1"/>
  <c r="AD85" i="1"/>
  <c r="AD53" i="1"/>
  <c r="AD57" i="1"/>
  <c r="AD60" i="1"/>
  <c r="AD52" i="1"/>
  <c r="AD54" i="1"/>
  <c r="AD62" i="1"/>
  <c r="AD56" i="1"/>
  <c r="AD61" i="1"/>
  <c r="AD58" i="1"/>
  <c r="AD51" i="1"/>
  <c r="AD55" i="1"/>
  <c r="AD59" i="1"/>
  <c r="AD63" i="1"/>
  <c r="AD64" i="1"/>
  <c r="S48" i="1"/>
  <c r="V48" i="1"/>
  <c r="T48" i="1"/>
  <c r="R48" i="1"/>
  <c r="AB48" i="1"/>
  <c r="Q48" i="1"/>
  <c r="AA48" i="1"/>
  <c r="W48" i="1"/>
  <c r="Z48" i="1"/>
  <c r="AD48" i="1"/>
  <c r="AC48" i="1"/>
  <c r="X48" i="1"/>
  <c r="U48" i="1"/>
  <c r="O46" i="1"/>
  <c r="W47" i="1" s="1"/>
  <c r="AG16" i="1"/>
  <c r="AF89" i="1"/>
  <c r="AG35" i="1" l="1"/>
  <c r="AG34" i="1"/>
  <c r="AG37" i="1"/>
  <c r="AG36" i="1"/>
  <c r="AF91" i="1"/>
  <c r="AG33" i="1"/>
  <c r="AG32" i="1"/>
  <c r="AG28" i="1"/>
  <c r="AG24" i="1"/>
  <c r="AG29" i="1"/>
  <c r="AG25" i="1"/>
  <c r="AG31" i="1"/>
  <c r="AG30" i="1"/>
  <c r="AG26" i="1"/>
  <c r="AG22" i="1"/>
  <c r="AG27" i="1"/>
  <c r="AG23" i="1"/>
  <c r="AG19" i="1"/>
  <c r="AG20" i="1"/>
  <c r="AG21" i="1"/>
  <c r="AF92" i="1"/>
  <c r="AF90" i="1"/>
  <c r="AE65" i="1"/>
  <c r="AE71" i="1"/>
  <c r="AE80" i="1"/>
  <c r="AE81" i="1"/>
  <c r="AE83" i="1"/>
  <c r="AE48" i="1"/>
  <c r="AE49" i="1"/>
  <c r="AE54" i="1"/>
  <c r="AE62" i="1"/>
  <c r="AE72" i="1"/>
  <c r="AE74" i="1"/>
  <c r="AE88" i="1"/>
  <c r="AE52" i="1"/>
  <c r="AE68" i="1"/>
  <c r="AE66" i="1"/>
  <c r="AE69" i="1"/>
  <c r="AE75" i="1"/>
  <c r="AE77" i="1"/>
  <c r="AE85" i="1"/>
  <c r="AE87" i="1"/>
  <c r="AE51" i="1"/>
  <c r="AE55" i="1"/>
  <c r="AE63" i="1"/>
  <c r="AE73" i="1"/>
  <c r="AE76" i="1"/>
  <c r="AE82" i="1"/>
  <c r="AE58" i="1"/>
  <c r="AE70" i="1"/>
  <c r="AE67" i="1"/>
  <c r="AE78" i="1"/>
  <c r="AE79" i="1"/>
  <c r="AE84" i="1"/>
  <c r="AE86" i="1"/>
  <c r="AE50" i="1"/>
  <c r="AE53" i="1"/>
  <c r="AE59" i="1"/>
  <c r="AE57" i="1"/>
  <c r="AE61" i="1"/>
  <c r="AE56" i="1"/>
  <c r="AE60" i="1"/>
  <c r="R47" i="1"/>
  <c r="S47" i="1"/>
  <c r="U47" i="1"/>
  <c r="Y47" i="1"/>
  <c r="AA47" i="1"/>
  <c r="AC47" i="1"/>
  <c r="Z47" i="1"/>
  <c r="X47" i="1"/>
  <c r="T47" i="1"/>
  <c r="AD47" i="1"/>
  <c r="AE47" i="1"/>
  <c r="AB47" i="1"/>
  <c r="Q47" i="1"/>
  <c r="V47" i="1"/>
  <c r="O45" i="1"/>
  <c r="X46" i="1" s="1"/>
  <c r="AH16" i="1"/>
  <c r="AG89" i="1"/>
  <c r="AH35" i="1" l="1"/>
  <c r="AH34" i="1"/>
  <c r="AH37" i="1"/>
  <c r="AH36" i="1"/>
  <c r="AG92" i="1"/>
  <c r="AG90" i="1"/>
  <c r="AG46" i="1" s="1"/>
  <c r="AH29" i="1"/>
  <c r="AH25" i="1"/>
  <c r="AH33" i="1"/>
  <c r="AH31" i="1"/>
  <c r="AH30" i="1"/>
  <c r="AH26" i="1"/>
  <c r="AH27" i="1"/>
  <c r="AH32" i="1"/>
  <c r="AH28" i="1"/>
  <c r="AH23" i="1"/>
  <c r="AH19" i="1"/>
  <c r="AH20" i="1"/>
  <c r="AH24" i="1"/>
  <c r="AH21" i="1"/>
  <c r="AH22" i="1"/>
  <c r="AG91" i="1"/>
  <c r="W46" i="1"/>
  <c r="S46" i="1"/>
  <c r="AD46" i="1"/>
  <c r="Z46" i="1"/>
  <c r="V46" i="1"/>
  <c r="U46" i="1"/>
  <c r="AF79" i="1"/>
  <c r="AF64" i="1"/>
  <c r="AF63" i="1"/>
  <c r="AF62" i="1"/>
  <c r="AF61" i="1"/>
  <c r="AF60" i="1"/>
  <c r="AF58" i="1"/>
  <c r="AF59" i="1"/>
  <c r="AF57" i="1"/>
  <c r="AF56" i="1"/>
  <c r="AF55" i="1"/>
  <c r="AF54" i="1"/>
  <c r="AF53" i="1"/>
  <c r="AF52" i="1"/>
  <c r="AF51" i="1"/>
  <c r="AF49" i="1"/>
  <c r="AF50" i="1"/>
  <c r="AF47" i="1"/>
  <c r="AF48" i="1"/>
  <c r="AF46" i="1"/>
  <c r="R46" i="1"/>
  <c r="AB46" i="1"/>
  <c r="Y46" i="1"/>
  <c r="AC46" i="1"/>
  <c r="AE46" i="1"/>
  <c r="AA46" i="1"/>
  <c r="T46" i="1"/>
  <c r="Q46" i="1"/>
  <c r="O44" i="1"/>
  <c r="Z45" i="1" s="1"/>
  <c r="P53" i="1"/>
  <c r="AF73" i="1"/>
  <c r="AF83" i="1"/>
  <c r="AF67" i="1"/>
  <c r="AF70" i="1"/>
  <c r="AF88" i="1"/>
  <c r="AF65" i="1"/>
  <c r="AF71" i="1"/>
  <c r="AF77" i="1"/>
  <c r="AF66" i="1"/>
  <c r="AF68" i="1"/>
  <c r="AF75" i="1"/>
  <c r="AF82" i="1"/>
  <c r="AF80" i="1"/>
  <c r="AF87" i="1"/>
  <c r="AF72" i="1"/>
  <c r="AF78" i="1"/>
  <c r="AF86" i="1"/>
  <c r="AF84" i="1"/>
  <c r="AF69" i="1"/>
  <c r="AF74" i="1"/>
  <c r="AF76" i="1"/>
  <c r="AF81" i="1"/>
  <c r="AF85" i="1"/>
  <c r="AI16" i="1"/>
  <c r="AH89" i="1"/>
  <c r="AI37" i="1" l="1"/>
  <c r="AI36" i="1"/>
  <c r="AI35" i="1"/>
  <c r="AI34" i="1"/>
  <c r="AH90" i="1"/>
  <c r="AH92" i="1"/>
  <c r="AI31" i="1"/>
  <c r="AI33" i="1"/>
  <c r="AI30" i="1"/>
  <c r="AI26" i="1"/>
  <c r="AI27" i="1"/>
  <c r="AI32" i="1"/>
  <c r="AI28" i="1"/>
  <c r="AI25" i="1"/>
  <c r="AI20" i="1"/>
  <c r="AI24" i="1"/>
  <c r="AI21" i="1"/>
  <c r="AI22" i="1"/>
  <c r="AI29" i="1"/>
  <c r="AI23" i="1"/>
  <c r="AI19" i="1"/>
  <c r="AH91" i="1"/>
  <c r="Y45" i="1"/>
  <c r="X45" i="1"/>
  <c r="AA45" i="1"/>
  <c r="Q45" i="1"/>
  <c r="AG63" i="1"/>
  <c r="AG64" i="1"/>
  <c r="AG61" i="1"/>
  <c r="AG62" i="1"/>
  <c r="AG60" i="1"/>
  <c r="AG59" i="1"/>
  <c r="AG58" i="1"/>
  <c r="AG57" i="1"/>
  <c r="AG55" i="1"/>
  <c r="AG56" i="1"/>
  <c r="AG54" i="1"/>
  <c r="AG53" i="1"/>
  <c r="AG52" i="1"/>
  <c r="AG51" i="1"/>
  <c r="AG50" i="1"/>
  <c r="AG49" i="1"/>
  <c r="AG48" i="1"/>
  <c r="AG47" i="1"/>
  <c r="AC45" i="1"/>
  <c r="AB45" i="1"/>
  <c r="V45" i="1"/>
  <c r="AD45" i="1"/>
  <c r="AE45" i="1"/>
  <c r="S45" i="1"/>
  <c r="AA44" i="1"/>
  <c r="V44" i="1"/>
  <c r="Z44" i="1"/>
  <c r="AG44" i="1"/>
  <c r="AC44" i="1"/>
  <c r="Y44" i="1"/>
  <c r="U44" i="1"/>
  <c r="Q44" i="1"/>
  <c r="AE44" i="1"/>
  <c r="S44" i="1"/>
  <c r="R44" i="1"/>
  <c r="AF44" i="1"/>
  <c r="AB44" i="1"/>
  <c r="X44" i="1"/>
  <c r="T44" i="1"/>
  <c r="W44" i="1"/>
  <c r="AD44" i="1"/>
  <c r="P44" i="1"/>
  <c r="P45" i="1"/>
  <c r="AF45" i="1"/>
  <c r="T45" i="1"/>
  <c r="W45" i="1"/>
  <c r="R45" i="1"/>
  <c r="U45" i="1"/>
  <c r="AG45" i="1"/>
  <c r="AJ16" i="1"/>
  <c r="AI89" i="1"/>
  <c r="AG84" i="1"/>
  <c r="AG80" i="1"/>
  <c r="AG88" i="1"/>
  <c r="AG85" i="1"/>
  <c r="AG81" i="1"/>
  <c r="AG86" i="1"/>
  <c r="AG87" i="1"/>
  <c r="AG83" i="1"/>
  <c r="AG82" i="1"/>
  <c r="AG78" i="1"/>
  <c r="AG74" i="1"/>
  <c r="AG76" i="1"/>
  <c r="AG72" i="1"/>
  <c r="AG79" i="1"/>
  <c r="AG77" i="1"/>
  <c r="AG73" i="1"/>
  <c r="AG71" i="1"/>
  <c r="AG69" i="1"/>
  <c r="AG65" i="1"/>
  <c r="AG75" i="1"/>
  <c r="AG67" i="1"/>
  <c r="AG66" i="1"/>
  <c r="AG68" i="1"/>
  <c r="AG70" i="1"/>
  <c r="AJ34" i="1" l="1"/>
  <c r="AJ37" i="1"/>
  <c r="AJ36" i="1"/>
  <c r="AJ35" i="1"/>
  <c r="AJ32" i="1"/>
  <c r="AJ33" i="1"/>
  <c r="AJ31" i="1"/>
  <c r="AJ27" i="1"/>
  <c r="AJ28" i="1"/>
  <c r="AJ24" i="1"/>
  <c r="AJ29" i="1"/>
  <c r="AJ21" i="1"/>
  <c r="AJ26" i="1"/>
  <c r="AJ22" i="1"/>
  <c r="AJ25" i="1"/>
  <c r="AJ30" i="1"/>
  <c r="AJ23" i="1"/>
  <c r="AJ19" i="1"/>
  <c r="AJ20" i="1"/>
  <c r="AI91" i="1"/>
  <c r="AI92" i="1"/>
  <c r="AI90" i="1"/>
  <c r="AI64" i="1" s="1"/>
  <c r="AH80" i="1"/>
  <c r="AH88" i="1"/>
  <c r="AH70" i="1"/>
  <c r="AH77" i="1"/>
  <c r="AH69" i="1"/>
  <c r="AH82" i="1"/>
  <c r="AH65" i="1"/>
  <c r="AH78" i="1"/>
  <c r="AH83" i="1"/>
  <c r="AH72" i="1"/>
  <c r="AH76" i="1"/>
  <c r="AH81" i="1"/>
  <c r="AH71" i="1"/>
  <c r="AH66" i="1"/>
  <c r="AH73" i="1"/>
  <c r="AH75" i="1"/>
  <c r="AH87" i="1"/>
  <c r="AH85" i="1"/>
  <c r="AH45" i="1"/>
  <c r="AH67" i="1"/>
  <c r="AH68" i="1"/>
  <c r="AH74" i="1"/>
  <c r="AH79" i="1"/>
  <c r="AH84" i="1"/>
  <c r="AH86" i="1"/>
  <c r="AH44" i="1"/>
  <c r="AH46" i="1"/>
  <c r="AH51" i="1"/>
  <c r="AH58" i="1"/>
  <c r="AH55" i="1"/>
  <c r="AH47" i="1"/>
  <c r="AH64" i="1"/>
  <c r="AH53" i="1"/>
  <c r="AH60" i="1"/>
  <c r="AH49" i="1"/>
  <c r="AH57" i="1"/>
  <c r="AH48" i="1"/>
  <c r="AH52" i="1"/>
  <c r="AH56" i="1"/>
  <c r="AH61" i="1"/>
  <c r="AH63" i="1"/>
  <c r="AH50" i="1"/>
  <c r="AH54" i="1"/>
  <c r="AH59" i="1"/>
  <c r="AH62" i="1"/>
  <c r="AK16" i="1"/>
  <c r="AJ89" i="1"/>
  <c r="AK35" i="1" l="1"/>
  <c r="AK34" i="1"/>
  <c r="AK37" i="1"/>
  <c r="AK36" i="1"/>
  <c r="AJ91" i="1"/>
  <c r="AK33" i="1"/>
  <c r="AK28" i="1"/>
  <c r="AK24" i="1"/>
  <c r="AK32" i="1"/>
  <c r="AK29" i="1"/>
  <c r="AK25" i="1"/>
  <c r="AK30" i="1"/>
  <c r="AK26" i="1"/>
  <c r="AK27" i="1"/>
  <c r="AK22" i="1"/>
  <c r="AK23" i="1"/>
  <c r="AK19" i="1"/>
  <c r="AK31" i="1"/>
  <c r="AK20" i="1"/>
  <c r="AK21" i="1"/>
  <c r="AJ90" i="1"/>
  <c r="AJ92" i="1"/>
  <c r="AI67" i="1"/>
  <c r="AI57" i="1"/>
  <c r="AI80" i="1"/>
  <c r="AI82" i="1"/>
  <c r="AI50" i="1"/>
  <c r="AI74" i="1"/>
  <c r="AI46" i="1"/>
  <c r="AI62" i="1"/>
  <c r="AI72" i="1"/>
  <c r="AI88" i="1"/>
  <c r="AI54" i="1"/>
  <c r="AI70" i="1"/>
  <c r="AI71" i="1"/>
  <c r="AI81" i="1"/>
  <c r="AI44" i="1"/>
  <c r="AI52" i="1"/>
  <c r="AI60" i="1"/>
  <c r="AI65" i="1"/>
  <c r="AI77" i="1"/>
  <c r="AI83" i="1"/>
  <c r="AI48" i="1"/>
  <c r="AI56" i="1"/>
  <c r="AI63" i="1"/>
  <c r="AI68" i="1"/>
  <c r="AI69" i="1"/>
  <c r="AI75" i="1"/>
  <c r="AI79" i="1"/>
  <c r="AI85" i="1"/>
  <c r="AI87" i="1"/>
  <c r="AI45" i="1"/>
  <c r="AI49" i="1"/>
  <c r="AI53" i="1"/>
  <c r="AI58" i="1"/>
  <c r="AI61" i="1"/>
  <c r="AI66" i="1"/>
  <c r="AI73" i="1"/>
  <c r="AI78" i="1"/>
  <c r="AI76" i="1"/>
  <c r="AI84" i="1"/>
  <c r="AI86" i="1"/>
  <c r="AI47" i="1"/>
  <c r="AI51" i="1"/>
  <c r="AI55" i="1"/>
  <c r="AI59" i="1"/>
  <c r="AL16" i="1"/>
  <c r="AK89" i="1"/>
  <c r="AL36" i="1" l="1"/>
  <c r="AL35" i="1"/>
  <c r="AL34" i="1"/>
  <c r="AL37" i="1"/>
  <c r="AL32" i="1"/>
  <c r="AL29" i="1"/>
  <c r="AL25" i="1"/>
  <c r="AL30" i="1"/>
  <c r="AL26" i="1"/>
  <c r="AL31" i="1"/>
  <c r="AL27" i="1"/>
  <c r="AL24" i="1"/>
  <c r="AL23" i="1"/>
  <c r="AL19" i="1"/>
  <c r="AL33" i="1"/>
  <c r="AL20" i="1"/>
  <c r="AL21" i="1"/>
  <c r="AL28" i="1"/>
  <c r="AL22" i="1"/>
  <c r="AK90" i="1"/>
  <c r="AK64" i="1" s="1"/>
  <c r="AK92" i="1"/>
  <c r="AK91" i="1"/>
  <c r="AJ87" i="1"/>
  <c r="AJ64" i="1"/>
  <c r="AJ63" i="1"/>
  <c r="AJ61" i="1"/>
  <c r="AJ62" i="1"/>
  <c r="AJ60" i="1"/>
  <c r="AJ59" i="1"/>
  <c r="AJ57" i="1"/>
  <c r="AJ58" i="1"/>
  <c r="AJ56" i="1"/>
  <c r="AJ54" i="1"/>
  <c r="AJ55" i="1"/>
  <c r="AJ53" i="1"/>
  <c r="AJ52" i="1"/>
  <c r="AJ51" i="1"/>
  <c r="AJ50" i="1"/>
  <c r="AJ49" i="1"/>
  <c r="AJ48" i="1"/>
  <c r="AJ47" i="1"/>
  <c r="AJ46" i="1"/>
  <c r="AJ44" i="1"/>
  <c r="AJ45" i="1"/>
  <c r="AJ68" i="1"/>
  <c r="AJ69" i="1"/>
  <c r="AJ74" i="1"/>
  <c r="AJ73" i="1"/>
  <c r="AJ72" i="1"/>
  <c r="AJ67" i="1"/>
  <c r="AJ66" i="1"/>
  <c r="AJ71" i="1"/>
  <c r="AJ75" i="1"/>
  <c r="AJ78" i="1"/>
  <c r="AJ81" i="1"/>
  <c r="AJ82" i="1"/>
  <c r="AJ79" i="1"/>
  <c r="AJ65" i="1"/>
  <c r="AJ70" i="1"/>
  <c r="AJ76" i="1"/>
  <c r="AJ77" i="1"/>
  <c r="AJ85" i="1"/>
  <c r="AJ84" i="1"/>
  <c r="AJ86" i="1"/>
  <c r="AJ88" i="1"/>
  <c r="AJ83" i="1"/>
  <c r="AJ80" i="1"/>
  <c r="AM16" i="1"/>
  <c r="AL89" i="1"/>
  <c r="AM36" i="1" l="1"/>
  <c r="AM35" i="1"/>
  <c r="AM34" i="1"/>
  <c r="AM37" i="1"/>
  <c r="AL90" i="1"/>
  <c r="AM31" i="1"/>
  <c r="AM30" i="1"/>
  <c r="AM26" i="1"/>
  <c r="AM27" i="1"/>
  <c r="AM33" i="1"/>
  <c r="AM28" i="1"/>
  <c r="AM20" i="1"/>
  <c r="AM21" i="1"/>
  <c r="AM32" i="1"/>
  <c r="AM23" i="1"/>
  <c r="AM29" i="1"/>
  <c r="AM25" i="1"/>
  <c r="AM22" i="1"/>
  <c r="AM24" i="1"/>
  <c r="AM19" i="1"/>
  <c r="AL92" i="1"/>
  <c r="AL91" i="1"/>
  <c r="AK72" i="1"/>
  <c r="AK68" i="1"/>
  <c r="AK86" i="1"/>
  <c r="AK79" i="1"/>
  <c r="AK69" i="1"/>
  <c r="AK80" i="1"/>
  <c r="AK66" i="1"/>
  <c r="AK73" i="1"/>
  <c r="AK87" i="1"/>
  <c r="AK71" i="1"/>
  <c r="AK74" i="1"/>
  <c r="AK85" i="1"/>
  <c r="AK47" i="1"/>
  <c r="AK55" i="1"/>
  <c r="AK50" i="1"/>
  <c r="AK45" i="1"/>
  <c r="AK59" i="1"/>
  <c r="AK67" i="1"/>
  <c r="AK75" i="1"/>
  <c r="AK76" i="1"/>
  <c r="AK83" i="1"/>
  <c r="AK81" i="1"/>
  <c r="AK84" i="1"/>
  <c r="AK44" i="1"/>
  <c r="AK48" i="1"/>
  <c r="AK52" i="1"/>
  <c r="AK56" i="1"/>
  <c r="AK60" i="1"/>
  <c r="AK63" i="1"/>
  <c r="AK61" i="1"/>
  <c r="AK49" i="1"/>
  <c r="AK53" i="1"/>
  <c r="AK57" i="1"/>
  <c r="AK70" i="1"/>
  <c r="AK65" i="1"/>
  <c r="AK77" i="1"/>
  <c r="AK78" i="1"/>
  <c r="AK82" i="1"/>
  <c r="AK88" i="1"/>
  <c r="AK46" i="1"/>
  <c r="AK51" i="1"/>
  <c r="AK54" i="1"/>
  <c r="AK58" i="1"/>
  <c r="AK62" i="1"/>
  <c r="AN16" i="1"/>
  <c r="AM89" i="1"/>
  <c r="AN34" i="1" l="1"/>
  <c r="AN37" i="1"/>
  <c r="AN36" i="1"/>
  <c r="AN35" i="1"/>
  <c r="AM91" i="1"/>
  <c r="AM92" i="1"/>
  <c r="AN32" i="1"/>
  <c r="AN33" i="1"/>
  <c r="AN27" i="1"/>
  <c r="AN31" i="1"/>
  <c r="AN28" i="1"/>
  <c r="AN24" i="1"/>
  <c r="AN29" i="1"/>
  <c r="AN26" i="1"/>
  <c r="AN21" i="1"/>
  <c r="AN30" i="1"/>
  <c r="AN25" i="1"/>
  <c r="AN22" i="1"/>
  <c r="AN23" i="1"/>
  <c r="AN19" i="1"/>
  <c r="AN20" i="1"/>
  <c r="AM90" i="1"/>
  <c r="AL85" i="1"/>
  <c r="AL72" i="1"/>
  <c r="AL66" i="1"/>
  <c r="AL79" i="1"/>
  <c r="AL71" i="1"/>
  <c r="AL75" i="1"/>
  <c r="AL67" i="1"/>
  <c r="AL70" i="1"/>
  <c r="AL76" i="1"/>
  <c r="AL47" i="1"/>
  <c r="AL53" i="1"/>
  <c r="AL65" i="1"/>
  <c r="AL78" i="1"/>
  <c r="AL83" i="1"/>
  <c r="AL57" i="1"/>
  <c r="AL63" i="1"/>
  <c r="AL87" i="1"/>
  <c r="AL88" i="1"/>
  <c r="AL49" i="1"/>
  <c r="AL54" i="1"/>
  <c r="AL60" i="1"/>
  <c r="AL73" i="1"/>
  <c r="AL80" i="1"/>
  <c r="AL82" i="1"/>
  <c r="AL44" i="1"/>
  <c r="AL51" i="1"/>
  <c r="AL55" i="1"/>
  <c r="AL61" i="1"/>
  <c r="AL69" i="1"/>
  <c r="AL68" i="1"/>
  <c r="AL74" i="1"/>
  <c r="AL77" i="1"/>
  <c r="AL84" i="1"/>
  <c r="AL81" i="1"/>
  <c r="AL46" i="1"/>
  <c r="AL50" i="1"/>
  <c r="AL58" i="1"/>
  <c r="AL62" i="1"/>
  <c r="AL86" i="1"/>
  <c r="AL45" i="1"/>
  <c r="AL48" i="1"/>
  <c r="AL52" i="1"/>
  <c r="AL56" i="1"/>
  <c r="AL59" i="1"/>
  <c r="AL64" i="1"/>
  <c r="AO16" i="1"/>
  <c r="AN89" i="1"/>
  <c r="AO35" i="1" l="1"/>
  <c r="AO34" i="1"/>
  <c r="AO37" i="1"/>
  <c r="AO36" i="1"/>
  <c r="AN91" i="1"/>
  <c r="AN92" i="1"/>
  <c r="AN90" i="1"/>
  <c r="AN83" i="1" s="1"/>
  <c r="AO33" i="1"/>
  <c r="AO31" i="1"/>
  <c r="AO28" i="1"/>
  <c r="AO24" i="1"/>
  <c r="AO29" i="1"/>
  <c r="AO25" i="1"/>
  <c r="AO32" i="1"/>
  <c r="AO30" i="1"/>
  <c r="AO26" i="1"/>
  <c r="AO22" i="1"/>
  <c r="AO23" i="1"/>
  <c r="AO19" i="1"/>
  <c r="AO20" i="1"/>
  <c r="AO27" i="1"/>
  <c r="AO21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49" i="1"/>
  <c r="AM50" i="1"/>
  <c r="AM48" i="1"/>
  <c r="AM47" i="1"/>
  <c r="AM46" i="1"/>
  <c r="AM45" i="1"/>
  <c r="AM44" i="1"/>
  <c r="AM86" i="1"/>
  <c r="AM82" i="1"/>
  <c r="AM87" i="1"/>
  <c r="AM83" i="1"/>
  <c r="AM84" i="1"/>
  <c r="AM88" i="1"/>
  <c r="AM85" i="1"/>
  <c r="AM81" i="1"/>
  <c r="AM80" i="1"/>
  <c r="AM76" i="1"/>
  <c r="AM77" i="1"/>
  <c r="AM79" i="1"/>
  <c r="AM78" i="1"/>
  <c r="AM74" i="1"/>
  <c r="AM75" i="1"/>
  <c r="AM71" i="1"/>
  <c r="AM67" i="1"/>
  <c r="AM73" i="1"/>
  <c r="AM69" i="1"/>
  <c r="AM65" i="1"/>
  <c r="AM72" i="1"/>
  <c r="AM70" i="1"/>
  <c r="AM66" i="1"/>
  <c r="AM68" i="1"/>
  <c r="AP16" i="1"/>
  <c r="AO89" i="1"/>
  <c r="AP35" i="1" l="1"/>
  <c r="AP34" i="1"/>
  <c r="AP37" i="1"/>
  <c r="AP36" i="1"/>
  <c r="AO91" i="1"/>
  <c r="AO92" i="1"/>
  <c r="AO90" i="1"/>
  <c r="AO63" i="1" s="1"/>
  <c r="AP29" i="1"/>
  <c r="AP25" i="1"/>
  <c r="AP33" i="1"/>
  <c r="AP32" i="1"/>
  <c r="AP30" i="1"/>
  <c r="AP26" i="1"/>
  <c r="AP27" i="1"/>
  <c r="AP23" i="1"/>
  <c r="AP19" i="1"/>
  <c r="AP31" i="1"/>
  <c r="AP20" i="1"/>
  <c r="AP28" i="1"/>
  <c r="AP24" i="1"/>
  <c r="AP21" i="1"/>
  <c r="AP22" i="1"/>
  <c r="AN68" i="1"/>
  <c r="AN77" i="1"/>
  <c r="AN81" i="1"/>
  <c r="AN69" i="1"/>
  <c r="AN80" i="1"/>
  <c r="AN67" i="1"/>
  <c r="AN74" i="1"/>
  <c r="AN82" i="1"/>
  <c r="AN84" i="1"/>
  <c r="AN71" i="1"/>
  <c r="AN65" i="1"/>
  <c r="AN66" i="1"/>
  <c r="AN72" i="1"/>
  <c r="AN75" i="1"/>
  <c r="AN86" i="1"/>
  <c r="AN79" i="1"/>
  <c r="AN73" i="1"/>
  <c r="AN70" i="1"/>
  <c r="AN76" i="1"/>
  <c r="AN78" i="1"/>
  <c r="AN85" i="1"/>
  <c r="AN87" i="1"/>
  <c r="AN88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0" i="1"/>
  <c r="AN51" i="1"/>
  <c r="AN49" i="1"/>
  <c r="AN48" i="1"/>
  <c r="AN47" i="1"/>
  <c r="AN46" i="1"/>
  <c r="AN45" i="1"/>
  <c r="AN44" i="1"/>
  <c r="AQ16" i="1"/>
  <c r="AP89" i="1"/>
  <c r="AQ37" i="1" l="1"/>
  <c r="AQ36" i="1"/>
  <c r="AQ35" i="1"/>
  <c r="AQ34" i="1"/>
  <c r="AP92" i="1"/>
  <c r="AQ31" i="1"/>
  <c r="AQ33" i="1"/>
  <c r="AQ32" i="1"/>
  <c r="AQ30" i="1"/>
  <c r="AQ26" i="1"/>
  <c r="AQ27" i="1"/>
  <c r="AQ28" i="1"/>
  <c r="AQ25" i="1"/>
  <c r="AQ20" i="1"/>
  <c r="AQ29" i="1"/>
  <c r="AQ24" i="1"/>
  <c r="AQ21" i="1"/>
  <c r="AQ22" i="1"/>
  <c r="AQ23" i="1"/>
  <c r="AQ19" i="1"/>
  <c r="AP91" i="1"/>
  <c r="AP90" i="1"/>
  <c r="AP64" i="1" s="1"/>
  <c r="AO82" i="1"/>
  <c r="AO53" i="1"/>
  <c r="AO68" i="1"/>
  <c r="AO77" i="1"/>
  <c r="AO61" i="1"/>
  <c r="AO44" i="1"/>
  <c r="AO67" i="1"/>
  <c r="AO76" i="1"/>
  <c r="AO81" i="1"/>
  <c r="AO47" i="1"/>
  <c r="AO54" i="1"/>
  <c r="AO64" i="1"/>
  <c r="AO88" i="1"/>
  <c r="AO58" i="1"/>
  <c r="AO69" i="1"/>
  <c r="AO74" i="1"/>
  <c r="AO49" i="1"/>
  <c r="AO75" i="1"/>
  <c r="AO83" i="1"/>
  <c r="AO84" i="1"/>
  <c r="AO51" i="1"/>
  <c r="AO59" i="1"/>
  <c r="AO66" i="1"/>
  <c r="AO71" i="1"/>
  <c r="AO72" i="1"/>
  <c r="AO78" i="1"/>
  <c r="AO86" i="1"/>
  <c r="AO80" i="1"/>
  <c r="AO46" i="1"/>
  <c r="AO50" i="1"/>
  <c r="AO55" i="1"/>
  <c r="AO57" i="1"/>
  <c r="AO62" i="1"/>
  <c r="AO70" i="1"/>
  <c r="AO65" i="1"/>
  <c r="AO73" i="1"/>
  <c r="AO79" i="1"/>
  <c r="AO87" i="1"/>
  <c r="AO85" i="1"/>
  <c r="AO45" i="1"/>
  <c r="AO48" i="1"/>
  <c r="AO52" i="1"/>
  <c r="AO56" i="1"/>
  <c r="AO60" i="1"/>
  <c r="AR16" i="1"/>
  <c r="AQ89" i="1"/>
  <c r="AR34" i="1" l="1"/>
  <c r="AR37" i="1"/>
  <c r="AR36" i="1"/>
  <c r="AR35" i="1"/>
  <c r="AQ92" i="1"/>
  <c r="AQ91" i="1"/>
  <c r="AR32" i="1"/>
  <c r="AR33" i="1"/>
  <c r="AR27" i="1"/>
  <c r="AR28" i="1"/>
  <c r="AR24" i="1"/>
  <c r="AR31" i="1"/>
  <c r="AR29" i="1"/>
  <c r="AR25" i="1"/>
  <c r="AR30" i="1"/>
  <c r="AR21" i="1"/>
  <c r="AR22" i="1"/>
  <c r="AR23" i="1"/>
  <c r="AR19" i="1"/>
  <c r="AR26" i="1"/>
  <c r="AR20" i="1"/>
  <c r="AQ90" i="1"/>
  <c r="AP84" i="1"/>
  <c r="AP67" i="1"/>
  <c r="AP45" i="1"/>
  <c r="AP68" i="1"/>
  <c r="AP55" i="1"/>
  <c r="AP74" i="1"/>
  <c r="AP69" i="1"/>
  <c r="AP73" i="1"/>
  <c r="AP87" i="1"/>
  <c r="AP47" i="1"/>
  <c r="AP58" i="1"/>
  <c r="AP76" i="1"/>
  <c r="AP86" i="1"/>
  <c r="AP49" i="1"/>
  <c r="AP63" i="1"/>
  <c r="AP66" i="1"/>
  <c r="AP79" i="1"/>
  <c r="AP85" i="1"/>
  <c r="AP52" i="1"/>
  <c r="AP60" i="1"/>
  <c r="AP46" i="1"/>
  <c r="AP54" i="1"/>
  <c r="AP62" i="1"/>
  <c r="AP65" i="1"/>
  <c r="AP72" i="1"/>
  <c r="AP78" i="1"/>
  <c r="AP75" i="1"/>
  <c r="AP83" i="1"/>
  <c r="AP81" i="1"/>
  <c r="AP44" i="1"/>
  <c r="AP50" i="1"/>
  <c r="AP53" i="1"/>
  <c r="AP57" i="1"/>
  <c r="AP61" i="1"/>
  <c r="AP71" i="1"/>
  <c r="AP70" i="1"/>
  <c r="AP77" i="1"/>
  <c r="AP80" i="1"/>
  <c r="AP82" i="1"/>
  <c r="AP88" i="1"/>
  <c r="AP48" i="1"/>
  <c r="AP51" i="1"/>
  <c r="AP56" i="1"/>
  <c r="AP59" i="1"/>
  <c r="AS16" i="1"/>
  <c r="AR89" i="1"/>
  <c r="AS34" i="1" l="1"/>
  <c r="AS37" i="1"/>
  <c r="AS36" i="1"/>
  <c r="AS35" i="1"/>
  <c r="AR91" i="1"/>
  <c r="AR90" i="1"/>
  <c r="AR92" i="1"/>
  <c r="AS33" i="1"/>
  <c r="AS28" i="1"/>
  <c r="AS24" i="1"/>
  <c r="AS31" i="1"/>
  <c r="AS29" i="1"/>
  <c r="AS25" i="1"/>
  <c r="AS30" i="1"/>
  <c r="AS26" i="1"/>
  <c r="AS22" i="1"/>
  <c r="AS23" i="1"/>
  <c r="AS19" i="1"/>
  <c r="AS32" i="1"/>
  <c r="AS27" i="1"/>
  <c r="AS20" i="1"/>
  <c r="AS21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7" i="1"/>
  <c r="AQ48" i="1"/>
  <c r="AQ46" i="1"/>
  <c r="AQ44" i="1"/>
  <c r="AQ45" i="1"/>
  <c r="AQ86" i="1"/>
  <c r="AQ82" i="1"/>
  <c r="AQ87" i="1"/>
  <c r="AQ83" i="1"/>
  <c r="AQ84" i="1"/>
  <c r="AQ88" i="1"/>
  <c r="AQ85" i="1"/>
  <c r="AQ81" i="1"/>
  <c r="AQ76" i="1"/>
  <c r="AQ77" i="1"/>
  <c r="AQ78" i="1"/>
  <c r="AQ74" i="1"/>
  <c r="AQ80" i="1"/>
  <c r="AQ79" i="1"/>
  <c r="AQ75" i="1"/>
  <c r="AQ71" i="1"/>
  <c r="AQ73" i="1"/>
  <c r="AQ67" i="1"/>
  <c r="AQ69" i="1"/>
  <c r="AQ65" i="1"/>
  <c r="AQ66" i="1"/>
  <c r="AQ68" i="1"/>
  <c r="AQ70" i="1"/>
  <c r="AQ72" i="1"/>
  <c r="AT16" i="1"/>
  <c r="AS89" i="1"/>
  <c r="AT36" i="1" l="1"/>
  <c r="AT35" i="1"/>
  <c r="AT34" i="1"/>
  <c r="AT37" i="1"/>
  <c r="AS92" i="1"/>
  <c r="AT31" i="1"/>
  <c r="AT29" i="1"/>
  <c r="AT25" i="1"/>
  <c r="AT30" i="1"/>
  <c r="AT26" i="1"/>
  <c r="AT32" i="1"/>
  <c r="AT27" i="1"/>
  <c r="AT33" i="1"/>
  <c r="AT24" i="1"/>
  <c r="AT23" i="1"/>
  <c r="AT19" i="1"/>
  <c r="AT28" i="1"/>
  <c r="AT20" i="1"/>
  <c r="AT21" i="1"/>
  <c r="AT22" i="1"/>
  <c r="AS91" i="1"/>
  <c r="AS90" i="1"/>
  <c r="AR63" i="1"/>
  <c r="AR64" i="1"/>
  <c r="AR62" i="1"/>
  <c r="AR61" i="1"/>
  <c r="AR59" i="1"/>
  <c r="AR60" i="1"/>
  <c r="AR57" i="1"/>
  <c r="AR58" i="1"/>
  <c r="AR56" i="1"/>
  <c r="AR54" i="1"/>
  <c r="AR55" i="1"/>
  <c r="AR52" i="1"/>
  <c r="AR53" i="1"/>
  <c r="AR51" i="1"/>
  <c r="AR49" i="1"/>
  <c r="AR50" i="1"/>
  <c r="AR48" i="1"/>
  <c r="AR47" i="1"/>
  <c r="AR46" i="1"/>
  <c r="AR44" i="1"/>
  <c r="AR45" i="1"/>
  <c r="AU16" i="1"/>
  <c r="AT89" i="1"/>
  <c r="AR87" i="1"/>
  <c r="AR83" i="1"/>
  <c r="AR79" i="1"/>
  <c r="AR84" i="1"/>
  <c r="AR80" i="1"/>
  <c r="AR88" i="1"/>
  <c r="AR85" i="1"/>
  <c r="AR86" i="1"/>
  <c r="AR82" i="1"/>
  <c r="AR77" i="1"/>
  <c r="AR78" i="1"/>
  <c r="AR81" i="1"/>
  <c r="AR75" i="1"/>
  <c r="AR71" i="1"/>
  <c r="AR76" i="1"/>
  <c r="AR72" i="1"/>
  <c r="AR68" i="1"/>
  <c r="AR70" i="1"/>
  <c r="AR66" i="1"/>
  <c r="AR74" i="1"/>
  <c r="AR65" i="1"/>
  <c r="AR73" i="1"/>
  <c r="AR67" i="1"/>
  <c r="AR69" i="1"/>
  <c r="AU36" i="1" l="1"/>
  <c r="AU35" i="1"/>
  <c r="AU34" i="1"/>
  <c r="AU37" i="1"/>
  <c r="AT91" i="1"/>
  <c r="AU31" i="1"/>
  <c r="AU30" i="1"/>
  <c r="AU26" i="1"/>
  <c r="AU32" i="1"/>
  <c r="AU27" i="1"/>
  <c r="AU33" i="1"/>
  <c r="AU28" i="1"/>
  <c r="AU29" i="1"/>
  <c r="AU20" i="1"/>
  <c r="AU21" i="1"/>
  <c r="AU24" i="1"/>
  <c r="AU23" i="1"/>
  <c r="AU22" i="1"/>
  <c r="AU25" i="1"/>
  <c r="AU19" i="1"/>
  <c r="AT90" i="1"/>
  <c r="AT92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V16" i="1"/>
  <c r="AU89" i="1"/>
  <c r="AS84" i="1"/>
  <c r="AS80" i="1"/>
  <c r="AS88" i="1"/>
  <c r="AS85" i="1"/>
  <c r="AS81" i="1"/>
  <c r="AS86" i="1"/>
  <c r="AS82" i="1"/>
  <c r="AS87" i="1"/>
  <c r="AS83" i="1"/>
  <c r="AS78" i="1"/>
  <c r="AS74" i="1"/>
  <c r="AS75" i="1"/>
  <c r="AS79" i="1"/>
  <c r="AS76" i="1"/>
  <c r="AS72" i="1"/>
  <c r="AS77" i="1"/>
  <c r="AS73" i="1"/>
  <c r="AS69" i="1"/>
  <c r="AS65" i="1"/>
  <c r="AS71" i="1"/>
  <c r="AS67" i="1"/>
  <c r="AS68" i="1"/>
  <c r="AS70" i="1"/>
  <c r="AS66" i="1"/>
  <c r="AV34" i="1" l="1"/>
  <c r="AV37" i="1"/>
  <c r="AV36" i="1"/>
  <c r="AV35" i="1"/>
  <c r="AU90" i="1"/>
  <c r="AU70" i="1" s="1"/>
  <c r="AV32" i="1"/>
  <c r="AV33" i="1"/>
  <c r="AV27" i="1"/>
  <c r="AV28" i="1"/>
  <c r="AV24" i="1"/>
  <c r="AV29" i="1"/>
  <c r="AV25" i="1"/>
  <c r="AV31" i="1"/>
  <c r="AV21" i="1"/>
  <c r="AV22" i="1"/>
  <c r="AV30" i="1"/>
  <c r="AV26" i="1"/>
  <c r="AV23" i="1"/>
  <c r="AV19" i="1"/>
  <c r="AV20" i="1"/>
  <c r="AU92" i="1"/>
  <c r="AT88" i="1"/>
  <c r="AT64" i="1"/>
  <c r="AT63" i="1"/>
  <c r="AT61" i="1"/>
  <c r="AT62" i="1"/>
  <c r="AT60" i="1"/>
  <c r="AT59" i="1"/>
  <c r="AT58" i="1"/>
  <c r="AT57" i="1"/>
  <c r="AT55" i="1"/>
  <c r="AT56" i="1"/>
  <c r="AT54" i="1"/>
  <c r="AT52" i="1"/>
  <c r="AT53" i="1"/>
  <c r="AT51" i="1"/>
  <c r="AT50" i="1"/>
  <c r="AT49" i="1"/>
  <c r="AT47" i="1"/>
  <c r="AT48" i="1"/>
  <c r="AT46" i="1"/>
  <c r="AT44" i="1"/>
  <c r="AT45" i="1"/>
  <c r="AT74" i="1"/>
  <c r="AT76" i="1"/>
  <c r="AT84" i="1"/>
  <c r="AT68" i="1"/>
  <c r="AT86" i="1"/>
  <c r="AT66" i="1"/>
  <c r="AT78" i="1"/>
  <c r="AT79" i="1"/>
  <c r="AT83" i="1"/>
  <c r="AT81" i="1"/>
  <c r="AT69" i="1"/>
  <c r="AT67" i="1"/>
  <c r="AT65" i="1"/>
  <c r="AT72" i="1"/>
  <c r="AT73" i="1"/>
  <c r="AT75" i="1"/>
  <c r="AT87" i="1"/>
  <c r="AT85" i="1"/>
  <c r="AT71" i="1"/>
  <c r="AT70" i="1"/>
  <c r="AT77" i="1"/>
  <c r="AT80" i="1"/>
  <c r="AT82" i="1"/>
  <c r="AW16" i="1"/>
  <c r="AV89" i="1"/>
  <c r="AW35" i="1" l="1"/>
  <c r="AW34" i="1"/>
  <c r="AW37" i="1"/>
  <c r="AW36" i="1"/>
  <c r="AW33" i="1"/>
  <c r="AW32" i="1"/>
  <c r="AW28" i="1"/>
  <c r="AW24" i="1"/>
  <c r="AW29" i="1"/>
  <c r="AW25" i="1"/>
  <c r="AW31" i="1"/>
  <c r="AW30" i="1"/>
  <c r="AW26" i="1"/>
  <c r="AW22" i="1"/>
  <c r="AW27" i="1"/>
  <c r="AW23" i="1"/>
  <c r="AW19" i="1"/>
  <c r="AW20" i="1"/>
  <c r="AW21" i="1"/>
  <c r="AV90" i="1"/>
  <c r="AV92" i="1"/>
  <c r="AU72" i="1"/>
  <c r="AU88" i="1"/>
  <c r="AU67" i="1"/>
  <c r="AU82" i="1"/>
  <c r="AU74" i="1"/>
  <c r="AU76" i="1"/>
  <c r="AU91" i="1"/>
  <c r="AU64" i="1"/>
  <c r="AU63" i="1"/>
  <c r="AU62" i="1"/>
  <c r="AU60" i="1"/>
  <c r="AU61" i="1"/>
  <c r="AU58" i="1"/>
  <c r="AU59" i="1"/>
  <c r="AU57" i="1"/>
  <c r="AU55" i="1"/>
  <c r="AU56" i="1"/>
  <c r="AU54" i="1"/>
  <c r="AU53" i="1"/>
  <c r="AU52" i="1"/>
  <c r="AU51" i="1"/>
  <c r="AU49" i="1"/>
  <c r="AU50" i="1"/>
  <c r="AU48" i="1"/>
  <c r="AU47" i="1"/>
  <c r="AU46" i="1"/>
  <c r="AU45" i="1"/>
  <c r="AU44" i="1"/>
  <c r="AU78" i="1"/>
  <c r="AU86" i="1"/>
  <c r="AU68" i="1"/>
  <c r="AU69" i="1"/>
  <c r="AU71" i="1"/>
  <c r="AU80" i="1"/>
  <c r="AU81" i="1"/>
  <c r="AU83" i="1"/>
  <c r="AU65" i="1"/>
  <c r="AU79" i="1"/>
  <c r="AU84" i="1"/>
  <c r="AU66" i="1"/>
  <c r="AU73" i="1"/>
  <c r="AU75" i="1"/>
  <c r="AU77" i="1"/>
  <c r="AU85" i="1"/>
  <c r="AU87" i="1"/>
  <c r="AX16" i="1"/>
  <c r="AW89" i="1"/>
  <c r="G13" i="1" l="1"/>
  <c r="AX35" i="1"/>
  <c r="AX34" i="1"/>
  <c r="AX37" i="1"/>
  <c r="AX36" i="1"/>
  <c r="H12" i="1"/>
  <c r="C16" i="1" s="1"/>
  <c r="AW90" i="1"/>
  <c r="AX29" i="1"/>
  <c r="AX25" i="1"/>
  <c r="AX33" i="1"/>
  <c r="AX31" i="1"/>
  <c r="AX30" i="1"/>
  <c r="AX26" i="1"/>
  <c r="AX27" i="1"/>
  <c r="AX28" i="1"/>
  <c r="AX23" i="1"/>
  <c r="AX19" i="1"/>
  <c r="AX32" i="1"/>
  <c r="AX20" i="1"/>
  <c r="AX24" i="1"/>
  <c r="AX21" i="1"/>
  <c r="AX22" i="1"/>
  <c r="AW92" i="1"/>
  <c r="AV79" i="1"/>
  <c r="AV91" i="1"/>
  <c r="AV64" i="1"/>
  <c r="AV63" i="1"/>
  <c r="AV62" i="1"/>
  <c r="AV60" i="1"/>
  <c r="AV61" i="1"/>
  <c r="AV59" i="1"/>
  <c r="AV58" i="1"/>
  <c r="AV57" i="1"/>
  <c r="AV55" i="1"/>
  <c r="AV56" i="1"/>
  <c r="AV54" i="1"/>
  <c r="AV53" i="1"/>
  <c r="AV52" i="1"/>
  <c r="AV51" i="1"/>
  <c r="AV50" i="1"/>
  <c r="AV49" i="1"/>
  <c r="AV47" i="1"/>
  <c r="AV48" i="1"/>
  <c r="AV46" i="1"/>
  <c r="AV45" i="1"/>
  <c r="AV44" i="1"/>
  <c r="AV73" i="1"/>
  <c r="AV67" i="1"/>
  <c r="AV70" i="1"/>
  <c r="AV68" i="1"/>
  <c r="AV75" i="1"/>
  <c r="AV82" i="1"/>
  <c r="AV80" i="1"/>
  <c r="AV87" i="1"/>
  <c r="AV71" i="1"/>
  <c r="AV77" i="1"/>
  <c r="AV88" i="1"/>
  <c r="AV83" i="1"/>
  <c r="AV65" i="1"/>
  <c r="AV66" i="1"/>
  <c r="AV72" i="1"/>
  <c r="AV78" i="1"/>
  <c r="AV86" i="1"/>
  <c r="AV84" i="1"/>
  <c r="AV69" i="1"/>
  <c r="AV74" i="1"/>
  <c r="AV76" i="1"/>
  <c r="AV81" i="1"/>
  <c r="AV85" i="1"/>
  <c r="AX89" i="1"/>
  <c r="AX90" i="1" l="1"/>
  <c r="AX92" i="1"/>
  <c r="AW84" i="1"/>
  <c r="AW91" i="1"/>
  <c r="AW64" i="1"/>
  <c r="AW63" i="1"/>
  <c r="AW62" i="1"/>
  <c r="AW61" i="1"/>
  <c r="AW60" i="1"/>
  <c r="AW59" i="1"/>
  <c r="AW57" i="1"/>
  <c r="AW58" i="1"/>
  <c r="AW56" i="1"/>
  <c r="AW55" i="1"/>
  <c r="AW54" i="1"/>
  <c r="AW52" i="1"/>
  <c r="AW53" i="1"/>
  <c r="AW51" i="1"/>
  <c r="AW50" i="1"/>
  <c r="AW49" i="1"/>
  <c r="AW48" i="1"/>
  <c r="AW47" i="1"/>
  <c r="AW46" i="1"/>
  <c r="AW44" i="1"/>
  <c r="AW45" i="1"/>
  <c r="AW75" i="1"/>
  <c r="AW87" i="1"/>
  <c r="AW65" i="1"/>
  <c r="AW85" i="1"/>
  <c r="AW77" i="1"/>
  <c r="AW66" i="1"/>
  <c r="AW69" i="1"/>
  <c r="AW79" i="1"/>
  <c r="AW74" i="1"/>
  <c r="AW82" i="1"/>
  <c r="AW88" i="1"/>
  <c r="AW68" i="1"/>
  <c r="AW67" i="1"/>
  <c r="AW71" i="1"/>
  <c r="AW72" i="1"/>
  <c r="AW78" i="1"/>
  <c r="AW86" i="1"/>
  <c r="AW80" i="1"/>
  <c r="AW70" i="1"/>
  <c r="AW73" i="1"/>
  <c r="AW76" i="1"/>
  <c r="AW83" i="1"/>
  <c r="AW81" i="1"/>
  <c r="AX91" i="1" l="1"/>
  <c r="AX64" i="1"/>
  <c r="AX63" i="1"/>
  <c r="AX62" i="1"/>
  <c r="AX60" i="1"/>
  <c r="AX61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88" i="1"/>
  <c r="AX85" i="1"/>
  <c r="AX81" i="1"/>
  <c r="AX86" i="1"/>
  <c r="AX82" i="1"/>
  <c r="AX87" i="1"/>
  <c r="AX83" i="1"/>
  <c r="AX84" i="1"/>
  <c r="AX80" i="1"/>
  <c r="AX75" i="1"/>
  <c r="AX76" i="1"/>
  <c r="AX79" i="1"/>
  <c r="AX77" i="1"/>
  <c r="AX73" i="1"/>
  <c r="AX78" i="1"/>
  <c r="AX74" i="1"/>
  <c r="AX70" i="1"/>
  <c r="AX66" i="1"/>
  <c r="AX72" i="1"/>
  <c r="AX68" i="1"/>
  <c r="AX69" i="1"/>
  <c r="AX71" i="1"/>
  <c r="AX65" i="1"/>
  <c r="AX67" i="1"/>
</calcChain>
</file>

<file path=xl/sharedStrings.xml><?xml version="1.0" encoding="utf-8"?>
<sst xmlns="http://schemas.openxmlformats.org/spreadsheetml/2006/main" count="96" uniqueCount="96">
  <si>
    <t>Nhập ngày báo cáo</t>
  </si>
  <si>
    <t>Ngày bắt đầu của tiến độ tháng</t>
  </si>
  <si>
    <t>(NC)</t>
  </si>
  <si>
    <t>(Ngày)</t>
  </si>
  <si>
    <t>NƯỚC</t>
  </si>
  <si>
    <t>ĐH</t>
  </si>
  <si>
    <t>Tổng NC</t>
  </si>
  <si>
    <t>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</si>
  <si>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</si>
  <si>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</si>
  <si>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</si>
  <si>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</si>
  <si>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</si>
  <si>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</si>
  <si>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</si>
  <si>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</si>
  <si>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</si>
  <si>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</si>
  <si>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</si>
  <si>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</si>
  <si>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</si>
  <si>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</si>
  <si>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</si>
  <si>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</si>
  <si>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</si>
  <si>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</si>
  <si>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</si>
  <si>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</si>
  <si>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</si>
  <si>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</si>
  <si>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</si>
  <si>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</si>
  <si>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</si>
  <si>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</si>
  <si>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</si>
  <si>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</si>
  <si>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</si>
  <si>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</si>
  <si>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</si>
  <si>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</si>
  <si>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</si>
  <si>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</si>
  <si>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</si>
  <si>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Tình trạng</t>
  </si>
  <si>
    <t>Quá hạn</t>
  </si>
  <si>
    <t>Ngày KTTT</t>
  </si>
  <si>
    <t>Ngày BC</t>
  </si>
  <si>
    <t>Ngày BĐTT</t>
  </si>
  <si>
    <t>GHI CHÚ :</t>
  </si>
  <si>
    <t>Ngày bắt đầu TT</t>
  </si>
  <si>
    <t>Ngày kết thúc TT</t>
  </si>
  <si>
    <t>Số ngày  KH</t>
  </si>
  <si>
    <t>Số ngày  TT</t>
  </si>
  <si>
    <t>HPNC KH</t>
  </si>
  <si>
    <t>HPNC TT</t>
  </si>
  <si>
    <t>Kiểm tra, chạy thử hệ thống/Testing, running system</t>
  </si>
  <si>
    <t>Thi công lắp đặt đường ống cấp nước /Installing water pipe</t>
  </si>
  <si>
    <t>Thi công lắp đặt đường ống thoát nước/Installing drainpipe</t>
  </si>
  <si>
    <t xml:space="preserve">Kiểm tra thử áp đường ống cấp nước/ Testing pressure of drainpipe </t>
  </si>
  <si>
    <t>Kiểm tra thử kín đường ống thoát nước/Testing drainpipe</t>
  </si>
  <si>
    <t xml:space="preserve">Thi công lắp đặt thiết bị vệ sinh/Installig sanitary equipment </t>
  </si>
  <si>
    <t>Kiểm tra, chạy thử hệ thống/Teestng and running system</t>
  </si>
  <si>
    <t>Hệ thống thông gió và điều hòa không khí/HVAC System</t>
  </si>
  <si>
    <t>Stt/No</t>
  </si>
  <si>
    <t>Công việc thi công/Work</t>
  </si>
  <si>
    <t>,</t>
  </si>
  <si>
    <t>% Hoàn thành/ completed Percentage</t>
  </si>
  <si>
    <t>Hạng Mục/Item: MEP</t>
  </si>
  <si>
    <t>TIẾN ĐỘ THI CÔNG THÁNG/ MONTHLY SCHEDULE</t>
  </si>
  <si>
    <t>Ghi chú/Remark</t>
  </si>
  <si>
    <t>Tuần 1/Week 1</t>
  </si>
  <si>
    <t>Tuần 2/Week 2</t>
  </si>
  <si>
    <t>Tuần 3/Week 3</t>
  </si>
  <si>
    <t>Tuần 4/ Week 4</t>
  </si>
  <si>
    <t>Tuần 5/ Week 5</t>
  </si>
  <si>
    <t>Ngày bắt đầu KH/Beginning of day</t>
  </si>
  <si>
    <t>Ngày kết thúc Kh/End of day</t>
  </si>
  <si>
    <t>Tháng</t>
  </si>
  <si>
    <t>Dư án: Bãi Tràm Estates</t>
  </si>
  <si>
    <t>Địa điểm/Address: Xã Xuân Cảnh, Thị xã Sông Cầu, Tỉnh Phú Yên/</t>
  </si>
  <si>
    <t xml:space="preserve">Gói thầu/Package: Cơ </t>
  </si>
  <si>
    <t>I</t>
  </si>
  <si>
    <t>II</t>
  </si>
  <si>
    <t>Thi công lắp đặt ống đồng và bảo ôn tầng T1/Installing copper pipe and heat insulation floor1</t>
  </si>
  <si>
    <t>Thi công lắp đặt ống nước ngưng và bảo ôn tầng T1/Installing sealing water pipe and heat insulation floor1</t>
  </si>
  <si>
    <t>Thi công lắp đặt đường ống thông gió và bảo ôn tầng T1/Installing air duct and heat insulation floor1</t>
  </si>
  <si>
    <t>Thi công lắp đặt ống luồn dây tin hiệu và điều khiển tầng T1/Installing signal of conduit and controlling floor1</t>
  </si>
  <si>
    <t>Thử áp đường ống đồng tầng T1/Testing pressure copper pipe floor1</t>
  </si>
  <si>
    <t>Thử kín đường ống nước ngưng tầng T1/Testing sealing water pipe floor1</t>
  </si>
  <si>
    <t>Lắp đặt thiết bị quạt thông gió tầng T1/Installing air duct fan equipment floor1</t>
  </si>
  <si>
    <t>Lắp đặt thiết bị điều hòa không khí tầng T1/Installing air conditional equipment floor1</t>
  </si>
  <si>
    <t>Lắp đặt thiết bị điều khiển tầng T1/Installing controling equipment floor1</t>
  </si>
  <si>
    <t>Lắp đặt cửa gió tầng T1/Installing air diffuser floor1</t>
  </si>
  <si>
    <t>HPV-1BR</t>
  </si>
  <si>
    <t>HBG-BTE-SD-HPV - 1BR:</t>
  </si>
  <si>
    <t>Hệ thống cấp thoát nước/Water supply and drainage system(1-13)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</si>
</sst>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dd"/>
    <numFmt numFmtId="165" formatCode="d/m/yy"/>
    <numFmt numFmtId="166" formatCode="mm"/>
    <numFmt numFmtId="167" formatCode="dd/mm/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3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12"/>
      <color theme="0"/>
      <name val="Times New Roman"/>
      <family val="1"/>
    </font>
    <font>
      <b/>
      <sz val="16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F8B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9" fontId="4" fillId="2" borderId="8" xfId="1" applyFont="1" applyFill="1" applyBorder="1" applyAlignment="1" applyProtection="1">
      <alignment horizontal="center" vertical="center"/>
      <protection locked="0"/>
    </xf>
    <xf numFmtId="14" fontId="4" fillId="2" borderId="8" xfId="0" applyNumberFormat="1" applyFont="1" applyFill="1" applyBorder="1" applyAlignment="1" applyProtection="1">
      <alignment horizontal="center" vertical="center"/>
      <protection locked="0"/>
    </xf>
    <xf numFmtId="3" fontId="4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14" fillId="3" borderId="0" xfId="0" applyFont="1" applyFill="1" applyBorder="1" applyAlignment="1" applyProtection="1">
      <alignment horizontal="center" vertical="center"/>
      <protection locked="0"/>
    </xf>
    <xf numFmtId="14" fontId="20" fillId="7" borderId="0" xfId="0" applyNumberFormat="1" applyFont="1" applyFill="1" applyBorder="1" applyAlignment="1" applyProtection="1">
      <alignment horizontal="center" vertical="center"/>
      <protection locked="0"/>
    </xf>
    <xf numFmtId="16" fontId="8" fillId="7" borderId="0" xfId="0" applyNumberFormat="1" applyFont="1" applyFill="1" applyBorder="1" applyAlignment="1" applyProtection="1">
      <alignment horizontal="center" vertical="center"/>
      <protection locked="0"/>
    </xf>
    <xf numFmtId="16" fontId="20" fillId="7" borderId="0" xfId="0" applyNumberFormat="1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left" vertical="center"/>
      <protection locked="0"/>
    </xf>
    <xf numFmtId="0" fontId="9" fillId="7" borderId="0" xfId="0" applyFont="1" applyFill="1" applyAlignment="1" applyProtection="1">
      <alignment horizontal="center" vertical="center"/>
      <protection locked="0"/>
    </xf>
    <xf numFmtId="14" fontId="3" fillId="7" borderId="8" xfId="0" applyNumberFormat="1" applyFont="1" applyFill="1" applyBorder="1" applyAlignment="1" applyProtection="1">
      <alignment horizontal="center" vertical="center"/>
      <protection locked="0"/>
    </xf>
    <xf numFmtId="0" fontId="3" fillId="7" borderId="8" xfId="0" applyFont="1" applyFill="1" applyBorder="1" applyAlignment="1" applyProtection="1">
      <alignment horizontal="center" vertical="center"/>
      <protection locked="0"/>
    </xf>
    <xf numFmtId="3" fontId="3" fillId="7" borderId="8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3" fontId="10" fillId="0" borderId="0" xfId="0" applyNumberFormat="1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16" fontId="2" fillId="3" borderId="8" xfId="0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14" fontId="3" fillId="7" borderId="2" xfId="0" applyNumberFormat="1" applyFont="1" applyFill="1" applyBorder="1" applyAlignment="1" applyProtection="1">
      <alignment horizontal="center" vertical="center"/>
      <protection locked="0"/>
    </xf>
    <xf numFmtId="3" fontId="14" fillId="3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3" fontId="7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9" fontId="3" fillId="0" borderId="8" xfId="1" applyFont="1" applyBorder="1" applyAlignment="1" applyProtection="1">
      <alignment horizontal="center" vertical="center"/>
      <protection locked="0"/>
    </xf>
    <xf numFmtId="9" fontId="3" fillId="0" borderId="2" xfId="1" applyFont="1" applyBorder="1" applyAlignment="1" applyProtection="1">
      <alignment horizontal="center" vertical="center"/>
      <protection locked="0"/>
    </xf>
    <xf numFmtId="0" fontId="7" fillId="6" borderId="15" xfId="0" applyFont="1" applyFill="1" applyBorder="1" applyAlignment="1" applyProtection="1">
      <alignment horizontal="left"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16" fillId="6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horizontal="center" vertical="center"/>
      <protection locked="0"/>
    </xf>
    <xf numFmtId="3" fontId="7" fillId="5" borderId="0" xfId="1" applyNumberFormat="1" applyFont="1" applyFill="1" applyAlignment="1" applyProtection="1">
      <alignment horizontal="center" vertical="center"/>
      <protection locked="0"/>
    </xf>
    <xf numFmtId="3" fontId="7" fillId="5" borderId="0" xfId="0" applyNumberFormat="1" applyFont="1" applyFill="1" applyAlignment="1" applyProtection="1">
      <alignment horizontal="center" vertical="center"/>
      <protection locked="0"/>
    </xf>
    <xf numFmtId="164" fontId="3" fillId="4" borderId="7" xfId="0" applyNumberFormat="1" applyFont="1" applyFill="1" applyBorder="1" applyAlignment="1" applyProtection="1">
      <alignment horizontal="center" vertical="center"/>
      <protection locked="0"/>
    </xf>
    <xf numFmtId="164" fontId="3" fillId="4" borderId="5" xfId="0" applyNumberFormat="1" applyFont="1" applyFill="1" applyBorder="1" applyAlignment="1" applyProtection="1">
      <alignment horizontal="center" vertical="center"/>
      <protection locked="0"/>
    </xf>
    <xf numFmtId="164" fontId="3" fillId="4" borderId="4" xfId="0" applyNumberFormat="1" applyFont="1" applyFill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left" vertical="center" wrapText="1"/>
      <protection locked="0"/>
    </xf>
    <xf numFmtId="9" fontId="5" fillId="3" borderId="8" xfId="1" applyFont="1" applyFill="1" applyBorder="1" applyAlignment="1" applyProtection="1">
      <alignment horizontal="center" vertical="center"/>
      <protection locked="0"/>
    </xf>
    <xf numFmtId="14" fontId="5" fillId="3" borderId="8" xfId="0" applyNumberFormat="1" applyFont="1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164" fontId="4" fillId="6" borderId="0" xfId="0" applyNumberFormat="1" applyFont="1" applyFill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7" borderId="0" xfId="0" applyFont="1" applyFill="1" applyAlignment="1" applyProtection="1">
      <alignment horizontal="center" vertical="center"/>
      <protection locked="0"/>
    </xf>
    <xf numFmtId="0" fontId="24" fillId="7" borderId="0" xfId="0" applyFont="1" applyFill="1" applyBorder="1" applyAlignment="1" applyProtection="1">
      <alignment horizontal="center" vertical="center"/>
      <protection locked="0"/>
    </xf>
    <xf numFmtId="0" fontId="25" fillId="7" borderId="0" xfId="0" applyFont="1" applyFill="1" applyBorder="1" applyAlignment="1" applyProtection="1">
      <alignment horizontal="center" vertical="center"/>
      <protection locked="0"/>
    </xf>
    <xf numFmtId="0" fontId="26" fillId="7" borderId="0" xfId="0" applyFont="1" applyFill="1" applyBorder="1" applyAlignment="1" applyProtection="1">
      <alignment horizontal="center" vertical="center"/>
      <protection locked="0"/>
    </xf>
    <xf numFmtId="43" fontId="9" fillId="0" borderId="0" xfId="2" applyFont="1" applyAlignment="1" applyProtection="1">
      <alignment horizontal="center" vertical="center"/>
      <protection locked="0"/>
    </xf>
    <xf numFmtId="0" fontId="27" fillId="7" borderId="0" xfId="0" applyFont="1" applyFill="1" applyAlignment="1" applyProtection="1">
      <alignment horizontal="left" vertical="center"/>
      <protection locked="0"/>
    </xf>
    <xf numFmtId="0" fontId="23" fillId="7" borderId="0" xfId="0" applyFont="1" applyFill="1" applyBorder="1" applyAlignment="1" applyProtection="1">
      <alignment horizontal="center" vertical="center"/>
      <protection locked="0"/>
    </xf>
    <xf numFmtId="167" fontId="22" fillId="10" borderId="37" xfId="0" applyNumberFormat="1" applyFont="1" applyFill="1" applyBorder="1" applyAlignment="1" applyProtection="1">
      <alignment horizontal="center" vertical="center"/>
      <protection locked="0"/>
    </xf>
    <xf numFmtId="0" fontId="3" fillId="11" borderId="0" xfId="0" applyFont="1" applyFill="1" applyBorder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left" vertical="center" wrapText="1"/>
      <protection locked="0"/>
    </xf>
    <xf numFmtId="14" fontId="4" fillId="11" borderId="8" xfId="0" applyNumberFormat="1" applyFont="1" applyFill="1" applyBorder="1" applyAlignment="1" applyProtection="1">
      <alignment horizontal="center" vertical="center"/>
      <protection locked="0"/>
    </xf>
    <xf numFmtId="0" fontId="3" fillId="11" borderId="1" xfId="0" applyFont="1" applyFill="1" applyBorder="1" applyAlignment="1" applyProtection="1">
      <alignment horizontal="center" vertical="center"/>
      <protection locked="0"/>
    </xf>
    <xf numFmtId="9" fontId="3" fillId="11" borderId="8" xfId="1" applyFont="1" applyFill="1" applyBorder="1" applyAlignment="1" applyProtection="1">
      <alignment horizontal="center" vertical="center"/>
      <protection locked="0"/>
    </xf>
    <xf numFmtId="0" fontId="3" fillId="11" borderId="8" xfId="0" applyFont="1" applyFill="1" applyBorder="1" applyAlignment="1" applyProtection="1">
      <alignment horizontal="center" vertical="center"/>
      <protection locked="0"/>
    </xf>
    <xf numFmtId="3" fontId="4" fillId="11" borderId="8" xfId="0" applyNumberFormat="1" applyFont="1" applyFill="1" applyBorder="1" applyAlignment="1" applyProtection="1">
      <alignment horizontal="center" vertical="center"/>
      <protection locked="0"/>
    </xf>
    <xf numFmtId="0" fontId="4" fillId="11" borderId="3" xfId="0" applyFont="1" applyFill="1" applyBorder="1" applyAlignment="1" applyProtection="1">
      <alignment horizontal="center" vertical="center" wrapText="1"/>
      <protection locked="0"/>
    </xf>
    <xf numFmtId="0" fontId="5" fillId="11" borderId="9" xfId="0" applyFont="1" applyFill="1" applyBorder="1" applyAlignment="1" applyProtection="1">
      <alignment horizontal="center" vertical="center"/>
      <protection locked="0"/>
    </xf>
    <xf numFmtId="0" fontId="5" fillId="11" borderId="8" xfId="0" applyFont="1" applyFill="1" applyBorder="1" applyAlignment="1" applyProtection="1">
      <alignment horizontal="left" vertical="center" wrapText="1"/>
      <protection locked="0"/>
    </xf>
    <xf numFmtId="9" fontId="3" fillId="11" borderId="33" xfId="1" applyFont="1" applyFill="1" applyBorder="1" applyAlignment="1" applyProtection="1">
      <alignment horizontal="center" vertical="center"/>
      <protection locked="0"/>
    </xf>
    <xf numFmtId="14" fontId="4" fillId="3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9" fontId="5" fillId="3" borderId="8" xfId="1" applyFont="1" applyFill="1" applyBorder="1" applyAlignment="1" applyProtection="1">
      <alignment horizontal="center" vertical="center"/>
      <protection hidden="1"/>
    </xf>
    <xf numFmtId="14" fontId="4" fillId="3" borderId="8" xfId="0" applyNumberFormat="1" applyFont="1" applyFill="1" applyBorder="1" applyAlignment="1" applyProtection="1">
      <alignment horizontal="center" vertical="center"/>
      <protection hidden="1"/>
    </xf>
    <xf numFmtId="14" fontId="4" fillId="11" borderId="8" xfId="0" applyNumberFormat="1" applyFont="1" applyFill="1" applyBorder="1" applyAlignment="1" applyProtection="1">
      <alignment horizontal="center" vertical="center"/>
      <protection hidden="1"/>
    </xf>
    <xf numFmtId="9" fontId="4" fillId="2" borderId="8" xfId="1" applyFont="1" applyFill="1" applyBorder="1" applyAlignment="1" applyProtection="1">
      <alignment horizontal="center" vertical="center"/>
      <protection hidden="1"/>
    </xf>
    <xf numFmtId="14" fontId="4" fillId="2" borderId="8" xfId="0" applyNumberFormat="1" applyFont="1" applyFill="1" applyBorder="1" applyAlignment="1" applyProtection="1">
      <alignment horizontal="center" vertical="center"/>
      <protection hidden="1"/>
    </xf>
    <xf numFmtId="9" fontId="3" fillId="0" borderId="8" xfId="1" applyFont="1" applyBorder="1" applyAlignment="1" applyProtection="1">
      <alignment horizontal="center" vertical="center"/>
      <protection hidden="1"/>
    </xf>
    <xf numFmtId="14" fontId="3" fillId="7" borderId="8" xfId="0" applyNumberFormat="1" applyFont="1" applyFill="1" applyBorder="1" applyAlignment="1" applyProtection="1">
      <alignment horizontal="center" vertical="center"/>
      <protection hidden="1"/>
    </xf>
    <xf numFmtId="9" fontId="3" fillId="11" borderId="8" xfId="1" applyFont="1" applyFill="1" applyBorder="1" applyAlignment="1" applyProtection="1">
      <alignment horizontal="center" vertical="center"/>
      <protection hidden="1"/>
    </xf>
    <xf numFmtId="14" fontId="18" fillId="7" borderId="8" xfId="0" applyNumberFormat="1" applyFont="1" applyFill="1" applyBorder="1" applyAlignment="1" applyProtection="1">
      <alignment horizontal="center" vertical="center"/>
      <protection hidden="1"/>
    </xf>
    <xf numFmtId="9" fontId="3" fillId="0" borderId="2" xfId="1" applyFont="1" applyBorder="1" applyAlignment="1" applyProtection="1">
      <alignment horizontal="center" vertical="center"/>
      <protection hidden="1"/>
    </xf>
    <xf numFmtId="14" fontId="3" fillId="7" borderId="2" xfId="0" applyNumberFormat="1" applyFont="1" applyFill="1" applyBorder="1" applyAlignment="1" applyProtection="1">
      <alignment horizontal="center" vertical="center"/>
      <protection hidden="1"/>
    </xf>
    <xf numFmtId="3" fontId="5" fillId="3" borderId="8" xfId="0" applyNumberFormat="1" applyFont="1" applyFill="1" applyBorder="1" applyAlignment="1" applyProtection="1">
      <alignment horizontal="center" vertical="center"/>
      <protection hidden="1"/>
    </xf>
    <xf numFmtId="3" fontId="4" fillId="11" borderId="8" xfId="0" applyNumberFormat="1" applyFont="1" applyFill="1" applyBorder="1" applyAlignment="1" applyProtection="1">
      <alignment horizontal="center" vertical="center"/>
      <protection hidden="1"/>
    </xf>
    <xf numFmtId="3" fontId="4" fillId="2" borderId="21" xfId="0" applyNumberFormat="1" applyFont="1" applyFill="1" applyBorder="1" applyAlignment="1" applyProtection="1">
      <alignment horizontal="center" vertical="center"/>
      <protection hidden="1"/>
    </xf>
    <xf numFmtId="0" fontId="3" fillId="7" borderId="8" xfId="0" applyFont="1" applyFill="1" applyBorder="1" applyAlignment="1" applyProtection="1">
      <alignment horizontal="center" vertical="center"/>
      <protection hidden="1"/>
    </xf>
    <xf numFmtId="0" fontId="3" fillId="11" borderId="21" xfId="0" applyFont="1" applyFill="1" applyBorder="1" applyAlignment="1" applyProtection="1">
      <alignment horizontal="center" vertical="center"/>
      <protection hidden="1"/>
    </xf>
    <xf numFmtId="0" fontId="3" fillId="11" borderId="8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14" fontId="5" fillId="3" borderId="8" xfId="0" applyNumberFormat="1" applyFont="1" applyFill="1" applyBorder="1" applyAlignment="1" applyProtection="1">
      <alignment horizontal="center" vertical="center"/>
      <protection hidden="1"/>
    </xf>
    <xf numFmtId="3" fontId="3" fillId="7" borderId="8" xfId="0" applyNumberFormat="1" applyFont="1" applyFill="1" applyBorder="1" applyAlignment="1" applyProtection="1">
      <alignment horizontal="center" vertical="center"/>
      <protection hidden="1"/>
    </xf>
    <xf numFmtId="0" fontId="18" fillId="3" borderId="7" xfId="0" applyFont="1" applyFill="1" applyBorder="1" applyAlignment="1" applyProtection="1">
      <alignment horizontal="center" vertical="center"/>
      <protection hidden="1"/>
    </xf>
    <xf numFmtId="0" fontId="18" fillId="3" borderId="5" xfId="0" applyFont="1" applyFill="1" applyBorder="1" applyAlignment="1" applyProtection="1">
      <alignment horizontal="center" vertical="center"/>
      <protection hidden="1"/>
    </xf>
    <xf numFmtId="0" fontId="18" fillId="3" borderId="4" xfId="0" applyFont="1" applyFill="1" applyBorder="1" applyAlignment="1" applyProtection="1">
      <alignment horizontal="center" vertical="center"/>
      <protection hidden="1"/>
    </xf>
    <xf numFmtId="0" fontId="0" fillId="7" borderId="24" xfId="0" applyFont="1" applyFill="1" applyBorder="1" applyAlignment="1" applyProtection="1">
      <alignment horizontal="center" vertical="center"/>
      <protection hidden="1"/>
    </xf>
    <xf numFmtId="0" fontId="0" fillId="7" borderId="25" xfId="0" applyFont="1" applyFill="1" applyBorder="1" applyAlignment="1" applyProtection="1">
      <alignment horizontal="center" vertical="center"/>
      <protection hidden="1"/>
    </xf>
    <xf numFmtId="0" fontId="0" fillId="7" borderId="28" xfId="0" applyFont="1" applyFill="1" applyBorder="1" applyAlignment="1" applyProtection="1">
      <alignment horizontal="center" vertical="center"/>
      <protection hidden="1"/>
    </xf>
    <xf numFmtId="0" fontId="0" fillId="7" borderId="27" xfId="0" applyFont="1" applyFill="1" applyBorder="1" applyAlignment="1" applyProtection="1">
      <alignment horizontal="center" vertical="center"/>
      <protection hidden="1"/>
    </xf>
    <xf numFmtId="0" fontId="0" fillId="7" borderId="26" xfId="0" applyFont="1" applyFill="1" applyBorder="1" applyAlignment="1" applyProtection="1">
      <alignment horizontal="center" vertical="center"/>
      <protection hidden="1"/>
    </xf>
    <xf numFmtId="0" fontId="19" fillId="7" borderId="7" xfId="0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 applyProtection="1">
      <alignment horizontal="center" vertical="center"/>
      <protection hidden="1"/>
    </xf>
    <xf numFmtId="0" fontId="19" fillId="7" borderId="32" xfId="0" applyFont="1" applyFill="1" applyBorder="1" applyAlignment="1" applyProtection="1">
      <alignment horizontal="center" vertical="center"/>
      <protection hidden="1"/>
    </xf>
    <xf numFmtId="0" fontId="19" fillId="7" borderId="5" xfId="0" applyFont="1" applyFill="1" applyBorder="1" applyAlignment="1" applyProtection="1">
      <alignment horizontal="center" vertical="center"/>
      <protection hidden="1"/>
    </xf>
    <xf numFmtId="0" fontId="19" fillId="7" borderId="4" xfId="0" applyFont="1" applyFill="1" applyBorder="1" applyAlignment="1" applyProtection="1">
      <alignment horizontal="center" vertical="center"/>
      <protection hidden="1"/>
    </xf>
    <xf numFmtId="0" fontId="19" fillId="11" borderId="7" xfId="0" applyFont="1" applyFill="1" applyBorder="1" applyAlignment="1" applyProtection="1">
      <alignment horizontal="center" vertical="center"/>
      <protection hidden="1"/>
    </xf>
    <xf numFmtId="0" fontId="19" fillId="11" borderId="6" xfId="0" applyFont="1" applyFill="1" applyBorder="1" applyAlignment="1" applyProtection="1">
      <alignment horizontal="center" vertical="center"/>
      <protection hidden="1"/>
    </xf>
    <xf numFmtId="0" fontId="19" fillId="11" borderId="32" xfId="0" applyFont="1" applyFill="1" applyBorder="1" applyAlignment="1" applyProtection="1">
      <alignment horizontal="center" vertical="center"/>
      <protection hidden="1"/>
    </xf>
    <xf numFmtId="0" fontId="19" fillId="11" borderId="5" xfId="0" applyFont="1" applyFill="1" applyBorder="1" applyAlignment="1" applyProtection="1">
      <alignment horizontal="center" vertical="center"/>
      <protection hidden="1"/>
    </xf>
    <xf numFmtId="0" fontId="19" fillId="11" borderId="4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3" fontId="14" fillId="3" borderId="0" xfId="0" applyNumberFormat="1" applyFont="1" applyFill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2" fillId="0" borderId="0" xfId="0" applyFont="1" applyBorder="1" applyAlignment="1" applyProtection="1">
      <alignment horizontal="center" vertical="center"/>
      <protection hidden="1"/>
    </xf>
    <xf numFmtId="0" fontId="17" fillId="7" borderId="0" xfId="0" applyFont="1" applyFill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 vertical="center"/>
      <protection locked="0"/>
    </xf>
    <xf numFmtId="165" fontId="7" fillId="3" borderId="39" xfId="0" applyNumberFormat="1" applyFont="1" applyFill="1" applyBorder="1" applyAlignment="1" applyProtection="1">
      <alignment vertical="center"/>
      <protection locked="0"/>
    </xf>
    <xf numFmtId="165" fontId="7" fillId="7" borderId="40" xfId="0" applyNumberFormat="1" applyFont="1" applyFill="1" applyBorder="1" applyAlignment="1" applyProtection="1">
      <alignment vertical="center"/>
      <protection locked="0"/>
    </xf>
    <xf numFmtId="16" fontId="8" fillId="7" borderId="40" xfId="0" applyNumberFormat="1" applyFont="1" applyFill="1" applyBorder="1" applyAlignment="1" applyProtection="1">
      <alignment horizontal="center" vertical="center"/>
      <protection locked="0"/>
    </xf>
    <xf numFmtId="165" fontId="7" fillId="3" borderId="41" xfId="0" applyNumberFormat="1" applyFont="1" applyFill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7" fillId="3" borderId="18" xfId="0" applyFont="1" applyFill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7" fillId="3" borderId="38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 applyProtection="1">
      <alignment horizontal="center" vertical="center" wrapText="1"/>
      <protection locked="0"/>
    </xf>
    <xf numFmtId="0" fontId="4" fillId="4" borderId="23" xfId="0" applyFont="1" applyFill="1" applyBorder="1" applyAlignment="1" applyProtection="1">
      <alignment horizontal="center" vertical="center" wrapText="1"/>
      <protection locked="0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4" fillId="4" borderId="11" xfId="0" applyFont="1" applyFill="1" applyBorder="1" applyAlignment="1" applyProtection="1">
      <alignment horizontal="center" vertical="center" wrapText="1"/>
      <protection locked="0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7" fillId="9" borderId="13" xfId="0" applyFont="1" applyFill="1" applyBorder="1" applyAlignment="1" applyProtection="1">
      <alignment horizontal="center" vertical="center" wrapText="1"/>
      <protection locked="0"/>
    </xf>
    <xf numFmtId="0" fontId="7" fillId="9" borderId="22" xfId="0" applyFont="1" applyFill="1" applyBorder="1" applyAlignment="1" applyProtection="1">
      <alignment horizontal="center" vertical="center" wrapText="1"/>
      <protection locked="0"/>
    </xf>
    <xf numFmtId="0" fontId="7" fillId="9" borderId="11" xfId="0" applyFont="1" applyFill="1" applyBorder="1" applyAlignment="1" applyProtection="1">
      <alignment horizontal="center" vertical="center" wrapText="1"/>
      <protection locked="0"/>
    </xf>
    <xf numFmtId="0" fontId="22" fillId="10" borderId="35" xfId="0" applyFont="1" applyFill="1" applyBorder="1" applyAlignment="1" applyProtection="1">
      <alignment horizontal="center" vertical="center"/>
      <protection locked="0"/>
    </xf>
    <xf numFmtId="0" fontId="22" fillId="10" borderId="36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Border="1" applyAlignment="1" applyProtection="1">
      <alignment horizontal="left" vertical="center"/>
      <protection locked="0"/>
    </xf>
    <xf numFmtId="0" fontId="27" fillId="7" borderId="0" xfId="0" applyFont="1" applyFill="1" applyAlignment="1" applyProtection="1">
      <alignment horizontal="left" vertical="center"/>
      <protection locked="0"/>
    </xf>
    <xf numFmtId="0" fontId="23" fillId="7" borderId="0" xfId="0" applyFont="1" applyFill="1" applyBorder="1" applyAlignment="1" applyProtection="1">
      <alignment horizontal="center" vertical="center"/>
      <protection locked="0"/>
    </xf>
    <xf numFmtId="14" fontId="5" fillId="4" borderId="14" xfId="0" applyNumberFormat="1" applyFont="1" applyFill="1" applyBorder="1" applyAlignment="1" applyProtection="1">
      <alignment horizontal="center" vertical="center"/>
      <protection locked="0"/>
    </xf>
    <xf numFmtId="14" fontId="5" fillId="4" borderId="29" xfId="0" applyNumberFormat="1" applyFont="1" applyFill="1" applyBorder="1" applyAlignment="1" applyProtection="1">
      <alignment horizontal="center" vertical="center"/>
      <protection locked="0"/>
    </xf>
    <xf numFmtId="14" fontId="5" fillId="4" borderId="12" xfId="0" applyNumberFormat="1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22" fillId="3" borderId="30" xfId="0" applyFont="1" applyFill="1" applyBorder="1" applyAlignment="1" applyProtection="1">
      <alignment horizontal="right" vertical="center"/>
      <protection locked="0"/>
    </xf>
    <xf numFmtId="0" fontId="22" fillId="3" borderId="19" xfId="0" applyFont="1" applyFill="1" applyBorder="1" applyAlignment="1" applyProtection="1">
      <alignment horizontal="right" vertical="center"/>
      <protection locked="0"/>
    </xf>
    <xf numFmtId="166" fontId="22" fillId="3" borderId="19" xfId="0" applyNumberFormat="1" applyFont="1" applyFill="1" applyBorder="1" applyAlignment="1" applyProtection="1">
      <alignment horizontal="left" vertical="center"/>
      <protection locked="0"/>
    </xf>
    <xf numFmtId="166" fontId="22" fillId="3" borderId="17" xfId="0" applyNumberFormat="1" applyFont="1" applyFill="1" applyBorder="1" applyAlignment="1" applyProtection="1">
      <alignment horizontal="left" vertical="center"/>
      <protection locked="0"/>
    </xf>
    <xf numFmtId="0" fontId="4" fillId="8" borderId="13" xfId="0" applyFont="1" applyFill="1" applyBorder="1" applyAlignment="1" applyProtection="1">
      <alignment horizontal="center" vertical="center" wrapText="1"/>
      <protection locked="0"/>
    </xf>
    <xf numFmtId="0" fontId="4" fillId="8" borderId="22" xfId="0" applyFont="1" applyFill="1" applyBorder="1" applyAlignment="1" applyProtection="1">
      <alignment horizontal="center" vertical="center" wrapText="1"/>
      <protection locked="0"/>
    </xf>
    <xf numFmtId="0" fontId="4" fillId="8" borderId="11" xfId="0" applyFont="1" applyFill="1" applyBorder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border outline="0">
        <left style="thin">
          <color auto="1"/>
        </left>
        <right style="thin">
          <color auto="1"/>
        </right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ill>
        <gradientFill degree="90">
          <stop position="0">
            <color theme="0"/>
          </stop>
          <stop position="1">
            <color rgb="FFC5F8BE"/>
          </stop>
        </gradientFill>
      </fill>
    </dxf>
    <dxf>
      <fill>
        <gradientFill degree="90">
          <stop position="0">
            <color theme="0"/>
          </stop>
          <stop position="1">
            <color rgb="FFFF7C80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66FF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6" tint="0.80001220740379042"/>
          </stop>
          <stop position="1">
            <color theme="3" tint="0.40000610370189521"/>
          </stop>
        </gradientFill>
      </fill>
    </dxf>
  </dxfs>
  <tableStyles count="0" defaultPivotStyle="PivotStyleLight16"/>
  <colors>
    <mruColors>
      <color rgb="FFF61F08"/>
      <color rgb="FF66FF99"/>
      <color rgb="FFD4FCF7"/>
      <color rgb="FFF8F8F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Ti&#7871;n%20&#273;&#7897;%20thi%20c&#244;ng%20t&#7893;ng%20th&#7875;%20c&#225;c%20khu%20v&#7921;c.xlsx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47625</xdr:rowOff>
    </xdr:from>
    <xdr:to>
      <xdr:col>4</xdr:col>
      <xdr:colOff>2352676</xdr:colOff>
      <xdr:row>1</xdr:row>
      <xdr:rowOff>438150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47625"/>
          <a:ext cx="2724150" cy="704850"/>
        </a:xfrm>
        <a:prstGeom prst="rect">
          <a:avLst/>
        </a:prstGeom>
      </xdr:spPr>
    </xdr:pic>
    <xdr:clientData/>
  </xdr:twoCellAnchor>
  <xdr:twoCellAnchor>
    <xdr:from>
      <xdr:col>14</xdr:col>
      <xdr:colOff>13856</xdr:colOff>
      <xdr:row>38</xdr:row>
      <xdr:rowOff>0</xdr:rowOff>
    </xdr:from>
    <xdr:to>
      <xdr:col>50</xdr:col>
      <xdr:colOff>540328</xdr:colOff>
      <xdr:row>87</xdr:row>
      <xdr:rowOff>304800</xdr:rowOff>
    </xdr:to>
    <xdr:grpSp>
      <xdr:nvGrpSpPr>
        <xdr:cNvPr id="3" name="Group 2"/>
        <xdr:cNvGrpSpPr/>
      </xdr:nvGrpSpPr>
      <xdr:grpSpPr>
        <a:xfrm>
          <a:off x="9458038" y="11741727"/>
          <a:ext cx="8007926" cy="4507346"/>
          <a:chOff x="7646830" y="16791662"/>
          <a:chExt cx="8721621" cy="6850188"/>
        </a:xfrm>
      </xdr:grpSpPr>
      <xdr:cxnSp macro="">
        <xdr:nvCxnSpPr>
          <xdr:cNvPr id="5" name="Straight Arrow Connector 4"/>
          <xdr:cNvCxnSpPr/>
        </xdr:nvCxnSpPr>
        <xdr:spPr>
          <a:xfrm>
            <a:off x="7647585" y="23641018"/>
            <a:ext cx="8720866" cy="0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/>
          <xdr:cNvCxnSpPr/>
        </xdr:nvCxnSpPr>
        <xdr:spPr>
          <a:xfrm flipV="1">
            <a:off x="7646830" y="16791662"/>
            <a:ext cx="0" cy="6850188"/>
          </a:xfrm>
          <a:prstGeom prst="straightConnector1">
            <a:avLst/>
          </a:prstGeom>
          <a:ln w="28575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32700</xdr:colOff>
      <xdr:row>0</xdr:row>
      <xdr:rowOff>2105</xdr:rowOff>
    </xdr:from>
    <xdr:to>
      <xdr:col>55</xdr:col>
      <xdr:colOff>171824</xdr:colOff>
      <xdr:row>2</xdr:row>
      <xdr:rowOff>207818</xdr:rowOff>
    </xdr:to>
    <xdr:sp macro="" textlink="">
      <xdr:nvSpPr>
        <xdr:cNvPr id="4" name="Bevel 3">
          <a:hlinkClick xmlns:r="http://schemas.openxmlformats.org/officeDocument/2006/relationships" r:id="rId2" tooltip="Tràn Trưởng"/>
        </xdr:cNvPr>
        <xdr:cNvSpPr/>
      </xdr:nvSpPr>
      <xdr:spPr>
        <a:xfrm>
          <a:off x="18612053" y="2105"/>
          <a:ext cx="3000359" cy="101253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sz="1600">
              <a:solidFill>
                <a:schemeClr val="lt1"/>
              </a:solidFill>
              <a:effectLst/>
              <a:latin typeface="Times New Roman" pitchFamily="18" charset="0"/>
              <a:ea typeface="Tahoma" pitchFamily="34" charset="0"/>
              <a:cs typeface="Times New Roman" pitchFamily="18" charset="0"/>
            </a:rPr>
            <a:t>QUAY</a:t>
          </a:r>
          <a:r>
            <a:rPr lang="en-US" sz="1600" baseline="0">
              <a:solidFill>
                <a:schemeClr val="lt1"/>
              </a:solidFill>
              <a:effectLst/>
              <a:latin typeface="Times New Roman" pitchFamily="18" charset="0"/>
              <a:ea typeface="Tahoma" pitchFamily="34" charset="0"/>
              <a:cs typeface="Times New Roman" pitchFamily="18" charset="0"/>
            </a:rPr>
            <a:t> LẠI TIẾN ĐỘ TỔNG THỂ CÁC KHU VỰC</a:t>
          </a:r>
          <a:endParaRPr lang="en-US" sz="1600">
            <a:effectLst/>
            <a:latin typeface="Times New Roman" pitchFamily="18" charset="0"/>
            <a:ea typeface="Tahoma" pitchFamily="34" charset="0"/>
            <a:cs typeface="Times New Roman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6350</xdr:colOff>
          <xdr:row>94</xdr:row>
          <xdr:rowOff>38100</xdr:rowOff>
        </xdr:from>
        <xdr:to>
          <xdr:col>20</xdr:col>
          <xdr:colOff>101600</xdr:colOff>
          <xdr:row>95</xdr:row>
          <xdr:rowOff>165100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6" name="Table6" displayName="Table6" ref="P18:AX37" totalsRowShown="0" headerRowDxfId="37" dataDxfId="36" tableBorderDxfId="35">
  <autoFilter ref="P18:AX37"/>
  <tableColumns count="35">
    <tableColumn id="1" name="Column1" dataDxfId="34">
      <calculatedColumnFormula>+IF(AND(P$16&gt;=$I19,P$16&lt;=$K19),"",0)</calculatedColumnFormula>
    </tableColumn>
    <tableColumn id="2" name="Column2" dataDxfId="33">
      <calculatedColumnFormula>+IF(AND(Q$16&gt;=$I19,Q$16&lt;=$K19),"",0)</calculatedColumnFormula>
    </tableColumn>
    <tableColumn id="3" name="Column3" dataDxfId="32">
      <calculatedColumnFormula>+IF(AND(R$16&gt;=$I19,R$16&lt;=$K19),"",0)</calculatedColumnFormula>
    </tableColumn>
    <tableColumn id="4" name="Column4" dataDxfId="31">
      <calculatedColumnFormula>+IF(AND(S$16&gt;=$I19,S$16&lt;=$K19),"",0)</calculatedColumnFormula>
    </tableColumn>
    <tableColumn id="5" name="Column5" dataDxfId="30">
      <calculatedColumnFormula>+IF(AND(T$16&gt;=$I19,T$16&lt;=$K19),"",0)</calculatedColumnFormula>
    </tableColumn>
    <tableColumn id="6" name="Column6" dataDxfId="29">
      <calculatedColumnFormula>+IF(AND(U$16&gt;=$I19,U$16&lt;=$K19),"",0)</calculatedColumnFormula>
    </tableColumn>
    <tableColumn id="7" name="Column7" dataDxfId="28">
      <calculatedColumnFormula>+IF(AND(V$16&gt;=$I19,V$16&lt;=$K19),"",0)</calculatedColumnFormula>
    </tableColumn>
    <tableColumn id="8" name="Column8" dataDxfId="27">
      <calculatedColumnFormula>+IF(AND(W$16&gt;=$I19,W$16&lt;=$K19),"",0)</calculatedColumnFormula>
    </tableColumn>
    <tableColumn id="9" name="Column9" dataDxfId="26">
      <calculatedColumnFormula>+IF(AND(X$16&gt;=$I19,X$16&lt;=$K19),"",0)</calculatedColumnFormula>
    </tableColumn>
    <tableColumn id="10" name="Column10" dataDxfId="25">
      <calculatedColumnFormula>+IF(AND(Y$16&gt;=$I19,Y$16&lt;=$K19),"",0)</calculatedColumnFormula>
    </tableColumn>
    <tableColumn id="11" name="Column11" dataDxfId="24">
      <calculatedColumnFormula>+IF(AND(Z$16&gt;=$I19,Z$16&lt;=$K19),"",0)</calculatedColumnFormula>
    </tableColumn>
    <tableColumn id="12" name="Column12" dataDxfId="23">
      <calculatedColumnFormula>+IF(AND(AA$16&gt;=$I19,AA$16&lt;=$K19),"",0)</calculatedColumnFormula>
    </tableColumn>
    <tableColumn id="13" name="Column13" dataDxfId="22">
      <calculatedColumnFormula>+IF(AND(AB$16&gt;=$I19,AB$16&lt;=$K19),"",0)</calculatedColumnFormula>
    </tableColumn>
    <tableColumn id="14" name="Column14" dataDxfId="21">
      <calculatedColumnFormula>+IF(AND(AC$16&gt;=$I19,AC$16&lt;=$K19),"",0)</calculatedColumnFormula>
    </tableColumn>
    <tableColumn id="15" name="Column15" dataDxfId="20">
      <calculatedColumnFormula>+IF(AND(AD$16&gt;=$I19,AD$16&lt;=$K19),"",0)</calculatedColumnFormula>
    </tableColumn>
    <tableColumn id="16" name="Column16" dataDxfId="19">
      <calculatedColumnFormula>+IF(AND(AE$16&gt;=$I19,AE$16&lt;=$K19),"",0)</calculatedColumnFormula>
    </tableColumn>
    <tableColumn id="17" name="Column17" dataDxfId="18">
      <calculatedColumnFormula>+IF(AND(AF$16&gt;=$I19,AF$16&lt;=$K19),"",0)</calculatedColumnFormula>
    </tableColumn>
    <tableColumn id="18" name="Column18" dataDxfId="17">
      <calculatedColumnFormula>+IF(AND(AG$16&gt;=$I19,AG$16&lt;=$K19),"",0)</calculatedColumnFormula>
    </tableColumn>
    <tableColumn id="19" name="Column19" dataDxfId="16">
      <calculatedColumnFormula>+IF(AND(AH$16&gt;=$I19,AH$16&lt;=$K19),"",0)</calculatedColumnFormula>
    </tableColumn>
    <tableColumn id="20" name="Column20" dataDxfId="15">
      <calculatedColumnFormula>+IF(AND(AI$16&gt;=$I19,AI$16&lt;=$K19),"",0)</calculatedColumnFormula>
    </tableColumn>
    <tableColumn id="21" name="Column21" dataDxfId="14">
      <calculatedColumnFormula>+IF(AND(AJ$16&gt;=$I19,AJ$16&lt;=$K19),"",0)</calculatedColumnFormula>
    </tableColumn>
    <tableColumn id="22" name="Column22" dataDxfId="13">
      <calculatedColumnFormula>+IF(AND(AK$16&gt;=$I19,AK$16&lt;=$K19),"",0)</calculatedColumnFormula>
    </tableColumn>
    <tableColumn id="23" name="Column23" dataDxfId="12">
      <calculatedColumnFormula>+IF(AND(AL$16&gt;=$I19,AL$16&lt;=$K19),"",0)</calculatedColumnFormula>
    </tableColumn>
    <tableColumn id="24" name="Column24" dataDxfId="11">
      <calculatedColumnFormula>+IF(AND(AM$16&gt;=$I19,AM$16&lt;=$K19),"",0)</calculatedColumnFormula>
    </tableColumn>
    <tableColumn id="25" name="Column25" dataDxfId="10">
      <calculatedColumnFormula>+IF(AND(AN$16&gt;=$I19,AN$16&lt;=$K19),"",0)</calculatedColumnFormula>
    </tableColumn>
    <tableColumn id="26" name="Column26" dataDxfId="9">
      <calculatedColumnFormula>+IF(AND(AO$16&gt;=$I19,AO$16&lt;=$K19),"",0)</calculatedColumnFormula>
    </tableColumn>
    <tableColumn id="27" name="Column27" dataDxfId="8">
      <calculatedColumnFormula>+IF(AND(AP$16&gt;=$I19,AP$16&lt;=$K19),"",0)</calculatedColumnFormula>
    </tableColumn>
    <tableColumn id="28" name="Column28" dataDxfId="7">
      <calculatedColumnFormula>+IF(AND(AQ$16&gt;=$I19,AQ$16&lt;=$K19),"",0)</calculatedColumnFormula>
    </tableColumn>
    <tableColumn id="29" name="Column29" dataDxfId="6">
      <calculatedColumnFormula>+IF(AND(AR$16&gt;=$I19,AR$16&lt;=$K19),"",0)</calculatedColumnFormula>
    </tableColumn>
    <tableColumn id="30" name="Column30" dataDxfId="5">
      <calculatedColumnFormula>+IF(AND(AS$16&gt;=$I19,AS$16&lt;=$K19),"",0)</calculatedColumnFormula>
    </tableColumn>
    <tableColumn id="31" name="Column31" dataDxfId="4">
      <calculatedColumnFormula>+IF(AND(AT$16&gt;=$I19,AT$16&lt;=$K19),"",0)</calculatedColumnFormula>
    </tableColumn>
    <tableColumn id="32" name="Column32" dataDxfId="3">
      <calculatedColumnFormula>+IF(AND(AU$16&gt;=$I19,AU$16&lt;=$K19),"",0)</calculatedColumnFormula>
    </tableColumn>
    <tableColumn id="33" name="Column33" dataDxfId="2">
      <calculatedColumnFormula>+IF(AND(AV$16&gt;=$I19,AV$16&lt;=$K19),"",0)</calculatedColumnFormula>
    </tableColumn>
    <tableColumn id="34" name="Column34" dataDxfId="1">
      <calculatedColumnFormula>+IF(AND(AW$16&gt;=$I19,AW$16&lt;=$K19),"",0)</calculatedColumnFormula>
    </tableColumn>
    <tableColumn id="35" name="Column35" dataDxfId="0">
      <calculatedColumnFormula>+IF(AND(AX$16&gt;=$I19,AX$16&lt;=$K19),"",0)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A92"/>
  <sheetViews>
    <sheetView showGridLines="0" tabSelected="1" view="pageBreakPreview" topLeftCell="D8" zoomScale="55" zoomScaleNormal="85" zoomScaleSheetLayoutView="55" zoomScalePageLayoutView="40" workbookViewId="0">
      <selection activeCell="AY27" sqref="AY27"/>
    </sheetView>
  </sheetViews>
  <sheetFormatPr defaultColWidth="8.90625" defaultRowHeight="14" outlineLevelRow="1" x14ac:dyDescent="0.35"/>
  <cols>
    <col min="1" max="1" width="15.36328125" style="1" hidden="1" customWidth="1"/>
    <col min="2" max="2" width="25.36328125" style="1" hidden="1" customWidth="1"/>
    <col min="3" max="3" width="10.90625" style="1" hidden="1" customWidth="1"/>
    <col min="4" max="4" width="6.36328125" style="1" customWidth="1"/>
    <col min="5" max="5" width="48.1796875" style="1" customWidth="1"/>
    <col min="6" max="6" width="9.81640625" style="1" customWidth="1"/>
    <col min="7" max="7" width="7.6328125" style="1" customWidth="1"/>
    <col min="8" max="8" width="10.08984375" style="1" bestFit="1" customWidth="1"/>
    <col min="9" max="9" width="11" style="1" customWidth="1"/>
    <col min="10" max="10" width="10.08984375" style="1" customWidth="1"/>
    <col min="11" max="11" width="10.08984375" style="7" customWidth="1"/>
    <col min="12" max="12" width="7.08984375" style="7" customWidth="1"/>
    <col min="13" max="13" width="7.08984375" style="1" customWidth="1"/>
    <col min="14" max="14" width="7.6328125" style="1" customWidth="1"/>
    <col min="15" max="15" width="7.54296875" style="1" customWidth="1"/>
    <col min="16" max="38" width="2.81640625" style="1" customWidth="1"/>
    <col min="39" max="39" width="3.90625" style="1" customWidth="1"/>
    <col min="40" max="50" width="2.81640625" style="1" customWidth="1"/>
    <col min="51" max="51" width="24.90625" style="1" customWidth="1"/>
    <col min="52" max="52" width="8.90625" style="1"/>
    <col min="53" max="53" width="14.36328125" style="1" bestFit="1" customWidth="1"/>
    <col min="54" max="16384" width="8.90625" style="1"/>
  </cols>
  <sheetData>
    <row r="1" spans="1:53" ht="24.9" customHeight="1" x14ac:dyDescent="0.35"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53" ht="39" customHeight="1" x14ac:dyDescent="0.35">
      <c r="J2" s="99" t="s">
        <v>68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 spans="1:53" ht="24.9" customHeight="1" x14ac:dyDescent="0.35"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</row>
    <row r="4" spans="1:53" ht="24.9" customHeight="1" x14ac:dyDescent="0.35">
      <c r="D4" s="1" t="s">
        <v>65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53" s="2" customFormat="1" ht="24.9" customHeight="1" x14ac:dyDescent="0.35">
      <c r="D5" s="3" t="s">
        <v>78</v>
      </c>
      <c r="K5" s="4"/>
      <c r="L5" s="4"/>
    </row>
    <row r="6" spans="1:53" s="2" customFormat="1" ht="24.9" customHeight="1" x14ac:dyDescent="0.35">
      <c r="D6" s="3" t="s">
        <v>79</v>
      </c>
      <c r="K6" s="4"/>
      <c r="L6" s="4"/>
    </row>
    <row r="7" spans="1:53" s="2" customFormat="1" ht="24.9" customHeight="1" x14ac:dyDescent="0.35">
      <c r="D7" s="3" t="s">
        <v>80</v>
      </c>
      <c r="J7" s="38"/>
      <c r="K7" s="39"/>
      <c r="L7" s="39"/>
      <c r="M7" s="38"/>
      <c r="N7" s="38"/>
      <c r="O7" s="38"/>
      <c r="P7" s="38"/>
      <c r="BA7" s="82">
        <f>16000*500</f>
        <v>8000000</v>
      </c>
    </row>
    <row r="8" spans="1:53" s="2" customFormat="1" ht="24.9" customHeight="1" x14ac:dyDescent="0.35">
      <c r="D8" s="3" t="s">
        <v>67</v>
      </c>
      <c r="J8" s="38"/>
      <c r="K8" s="39"/>
      <c r="L8" s="39"/>
      <c r="M8" s="38"/>
      <c r="N8" s="38"/>
      <c r="O8" s="38"/>
      <c r="P8" s="38"/>
      <c r="T8" s="75"/>
      <c r="U8" s="76"/>
      <c r="V8" s="76"/>
      <c r="W8" s="76"/>
      <c r="X8" s="76"/>
      <c r="Y8" s="76"/>
      <c r="Z8" s="76"/>
      <c r="AA8" s="76"/>
      <c r="AB8" s="76"/>
      <c r="AC8" s="84"/>
      <c r="AD8" s="84"/>
      <c r="AE8" s="172"/>
      <c r="AF8" s="172"/>
      <c r="AG8" s="172"/>
      <c r="AH8" s="172"/>
      <c r="AI8" s="172"/>
      <c r="AJ8" s="172"/>
      <c r="AK8" s="172"/>
      <c r="AL8" s="172"/>
      <c r="AM8" s="174"/>
      <c r="AN8" s="174"/>
      <c r="AO8" s="174"/>
      <c r="AP8" s="174"/>
      <c r="AQ8" s="73" t="e">
        <v>#N/A</v>
      </c>
      <c r="AR8" s="76"/>
      <c r="AS8" s="76"/>
      <c r="AT8" s="76"/>
      <c r="AU8" s="76"/>
      <c r="AV8" s="76"/>
      <c r="AW8" s="76"/>
      <c r="AX8" s="75"/>
      <c r="AY8" s="75"/>
    </row>
    <row r="9" spans="1:53" s="2" customFormat="1" ht="26.4" customHeight="1" x14ac:dyDescent="0.35">
      <c r="D9" s="3"/>
      <c r="F9" s="32"/>
      <c r="G9" s="32"/>
      <c r="H9" s="33"/>
      <c r="I9" s="43" t="s">
        <v>48</v>
      </c>
      <c r="J9" s="100"/>
      <c r="K9" s="47"/>
      <c r="L9" s="48" t="s">
        <v>44</v>
      </c>
      <c r="M9" s="47"/>
      <c r="N9" s="47"/>
      <c r="O9" s="48" t="s">
        <v>45</v>
      </c>
      <c r="P9" s="33"/>
      <c r="Q9" s="34"/>
      <c r="R9" s="34"/>
      <c r="T9" s="75"/>
      <c r="U9" s="76"/>
      <c r="V9" s="76"/>
      <c r="W9" s="76"/>
      <c r="X9" s="76"/>
      <c r="Y9" s="76"/>
      <c r="Z9" s="76"/>
      <c r="AA9" s="76"/>
      <c r="AB9" s="76"/>
      <c r="AC9" s="76"/>
      <c r="AD9" s="76"/>
      <c r="AE9" s="173"/>
      <c r="AF9" s="173"/>
      <c r="AG9" s="173"/>
      <c r="AH9" s="173"/>
      <c r="AI9" s="173"/>
      <c r="AJ9" s="173"/>
      <c r="AK9" s="173"/>
      <c r="AL9" s="173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5"/>
      <c r="AY9" s="75"/>
    </row>
    <row r="10" spans="1:53" ht="31.5" customHeight="1" thickBot="1" x14ac:dyDescent="0.4">
      <c r="F10" s="32"/>
      <c r="G10" s="32"/>
      <c r="H10" s="33"/>
      <c r="I10" s="33"/>
      <c r="J10" s="101"/>
      <c r="K10" s="47"/>
      <c r="L10" s="48" t="s">
        <v>46</v>
      </c>
      <c r="M10" s="47"/>
      <c r="N10" s="47"/>
      <c r="O10" s="48" t="s">
        <v>47</v>
      </c>
      <c r="P10" s="33"/>
      <c r="Q10" s="34"/>
      <c r="R10" s="32"/>
      <c r="T10" s="77"/>
      <c r="U10" s="78"/>
      <c r="V10" s="79"/>
      <c r="W10" s="79"/>
      <c r="X10" s="79"/>
      <c r="Y10" s="79"/>
      <c r="Z10" s="80"/>
      <c r="AA10" s="80"/>
      <c r="AB10" s="80"/>
      <c r="AC10" s="80"/>
      <c r="AD10" s="80"/>
      <c r="AE10" s="83"/>
      <c r="AF10" s="80"/>
      <c r="AG10" s="80"/>
      <c r="AH10" s="80"/>
      <c r="AI10" s="81"/>
      <c r="AJ10" s="80"/>
      <c r="AK10" s="80"/>
      <c r="AL10" s="80"/>
      <c r="AM10" s="80"/>
      <c r="AN10" s="80"/>
      <c r="AO10" s="80"/>
      <c r="AP10" s="80"/>
      <c r="AQ10" s="80"/>
      <c r="AR10" s="80"/>
      <c r="AS10" s="79"/>
      <c r="AT10" s="79"/>
      <c r="AU10" s="79"/>
      <c r="AV10" s="79"/>
      <c r="AW10" s="78"/>
      <c r="AX10" s="77"/>
      <c r="AY10" s="77"/>
    </row>
    <row r="11" spans="1:53" ht="24.9" customHeight="1" thickTop="1" thickBot="1" x14ac:dyDescent="0.4">
      <c r="D11" s="186" t="s">
        <v>1</v>
      </c>
      <c r="E11" s="187"/>
      <c r="F11" s="188"/>
      <c r="G11" s="150">
        <v>43647</v>
      </c>
      <c r="H11" s="148"/>
      <c r="I11" s="29"/>
      <c r="J11" s="5"/>
      <c r="K11" s="6"/>
      <c r="L11" s="6"/>
      <c r="M11" s="5"/>
      <c r="N11" s="5"/>
      <c r="O11" s="5"/>
      <c r="P11" s="5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</row>
    <row r="12" spans="1:53" ht="15.75" hidden="1" customHeight="1" x14ac:dyDescent="0.4">
      <c r="D12" s="41"/>
      <c r="E12" s="42">
        <v>43282</v>
      </c>
      <c r="F12" s="61"/>
      <c r="G12" s="146"/>
      <c r="H12" s="149">
        <f ca="1">+IF(G13&lt;&gt;0,G13,TODAY())</f>
        <v>43681</v>
      </c>
      <c r="I12" s="30"/>
    </row>
    <row r="13" spans="1:53" ht="24.9" customHeight="1" thickTop="1" thickBot="1" x14ac:dyDescent="0.4">
      <c r="D13" s="152" t="s">
        <v>0</v>
      </c>
      <c r="E13" s="153"/>
      <c r="F13" s="154"/>
      <c r="G13" s="147">
        <f>+AX16</f>
        <v>43681</v>
      </c>
      <c r="H13" s="148"/>
      <c r="I13" s="31"/>
      <c r="J13" s="102"/>
      <c r="K13" s="8"/>
      <c r="L13" s="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70" t="s">
        <v>94</v>
      </c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85">
        <f ca="1">+NOW()</f>
        <v>43559.57880023148</v>
      </c>
    </row>
    <row r="14" spans="1:53" ht="24.9" customHeight="1" thickTop="1" x14ac:dyDescent="0.35">
      <c r="D14" s="175" t="s">
        <v>63</v>
      </c>
      <c r="E14" s="164" t="s">
        <v>64</v>
      </c>
      <c r="F14" s="161" t="s">
        <v>66</v>
      </c>
      <c r="G14" s="161" t="s">
        <v>43</v>
      </c>
      <c r="H14" s="167" t="s">
        <v>75</v>
      </c>
      <c r="I14" s="167" t="s">
        <v>49</v>
      </c>
      <c r="J14" s="167" t="s">
        <v>76</v>
      </c>
      <c r="K14" s="167" t="s">
        <v>50</v>
      </c>
      <c r="L14" s="183" t="s">
        <v>51</v>
      </c>
      <c r="M14" s="183" t="s">
        <v>52</v>
      </c>
      <c r="N14" s="183" t="s">
        <v>53</v>
      </c>
      <c r="O14" s="183" t="s">
        <v>54</v>
      </c>
      <c r="P14" s="179" t="s">
        <v>77</v>
      </c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1">
        <f ca="1">+NOW()</f>
        <v>43559.57880023148</v>
      </c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2"/>
      <c r="AY14" s="155" t="s">
        <v>69</v>
      </c>
    </row>
    <row r="15" spans="1:53" ht="20.149999999999999" customHeight="1" x14ac:dyDescent="0.35">
      <c r="A15" s="10"/>
      <c r="B15" s="11"/>
      <c r="C15" s="12"/>
      <c r="D15" s="176"/>
      <c r="E15" s="165"/>
      <c r="F15" s="162"/>
      <c r="G15" s="162"/>
      <c r="H15" s="168"/>
      <c r="I15" s="168"/>
      <c r="J15" s="168"/>
      <c r="K15" s="168"/>
      <c r="L15" s="184"/>
      <c r="M15" s="184"/>
      <c r="N15" s="184"/>
      <c r="O15" s="184"/>
      <c r="P15" s="158" t="s">
        <v>70</v>
      </c>
      <c r="Q15" s="159"/>
      <c r="R15" s="159"/>
      <c r="S15" s="159"/>
      <c r="T15" s="159"/>
      <c r="U15" s="159"/>
      <c r="V15" s="160"/>
      <c r="W15" s="158" t="s">
        <v>71</v>
      </c>
      <c r="X15" s="159"/>
      <c r="Y15" s="159"/>
      <c r="Z15" s="159"/>
      <c r="AA15" s="159"/>
      <c r="AB15" s="159"/>
      <c r="AC15" s="160"/>
      <c r="AD15" s="158" t="s">
        <v>72</v>
      </c>
      <c r="AE15" s="159"/>
      <c r="AF15" s="159"/>
      <c r="AG15" s="159"/>
      <c r="AH15" s="159"/>
      <c r="AI15" s="159"/>
      <c r="AJ15" s="160"/>
      <c r="AK15" s="158" t="s">
        <v>73</v>
      </c>
      <c r="AL15" s="159"/>
      <c r="AM15" s="159"/>
      <c r="AN15" s="159"/>
      <c r="AO15" s="159"/>
      <c r="AP15" s="159"/>
      <c r="AQ15" s="160"/>
      <c r="AR15" s="178" t="s">
        <v>74</v>
      </c>
      <c r="AS15" s="159"/>
      <c r="AT15" s="159"/>
      <c r="AU15" s="159"/>
      <c r="AV15" s="159"/>
      <c r="AW15" s="159"/>
      <c r="AX15" s="160"/>
      <c r="AY15" s="156"/>
    </row>
    <row r="16" spans="1:53" s="17" customFormat="1" ht="42.5" customHeight="1" x14ac:dyDescent="0.35">
      <c r="A16" s="13"/>
      <c r="B16" s="14"/>
      <c r="C16" s="15">
        <f ca="1">+IF($H$12&lt;&gt;"",$H$12,TODAY())</f>
        <v>43681</v>
      </c>
      <c r="D16" s="177"/>
      <c r="E16" s="166"/>
      <c r="F16" s="163"/>
      <c r="G16" s="163"/>
      <c r="H16" s="169"/>
      <c r="I16" s="169"/>
      <c r="J16" s="169"/>
      <c r="K16" s="169"/>
      <c r="L16" s="185"/>
      <c r="M16" s="185"/>
      <c r="N16" s="185"/>
      <c r="O16" s="185"/>
      <c r="P16" s="58">
        <f>G11</f>
        <v>43647</v>
      </c>
      <c r="Q16" s="59">
        <f t="shared" ref="Q16:AX16" si="0">+P16+1</f>
        <v>43648</v>
      </c>
      <c r="R16" s="59">
        <f t="shared" si="0"/>
        <v>43649</v>
      </c>
      <c r="S16" s="59">
        <f t="shared" si="0"/>
        <v>43650</v>
      </c>
      <c r="T16" s="59">
        <f t="shared" si="0"/>
        <v>43651</v>
      </c>
      <c r="U16" s="59">
        <f t="shared" si="0"/>
        <v>43652</v>
      </c>
      <c r="V16" s="60">
        <f t="shared" si="0"/>
        <v>43653</v>
      </c>
      <c r="W16" s="58">
        <f t="shared" si="0"/>
        <v>43654</v>
      </c>
      <c r="X16" s="59">
        <f t="shared" si="0"/>
        <v>43655</v>
      </c>
      <c r="Y16" s="59">
        <f t="shared" si="0"/>
        <v>43656</v>
      </c>
      <c r="Z16" s="59">
        <f t="shared" si="0"/>
        <v>43657</v>
      </c>
      <c r="AA16" s="59">
        <f t="shared" si="0"/>
        <v>43658</v>
      </c>
      <c r="AB16" s="59">
        <f t="shared" si="0"/>
        <v>43659</v>
      </c>
      <c r="AC16" s="60">
        <f t="shared" si="0"/>
        <v>43660</v>
      </c>
      <c r="AD16" s="58">
        <f t="shared" si="0"/>
        <v>43661</v>
      </c>
      <c r="AE16" s="59">
        <f t="shared" si="0"/>
        <v>43662</v>
      </c>
      <c r="AF16" s="59">
        <f t="shared" si="0"/>
        <v>43663</v>
      </c>
      <c r="AG16" s="59">
        <f t="shared" si="0"/>
        <v>43664</v>
      </c>
      <c r="AH16" s="59">
        <f t="shared" si="0"/>
        <v>43665</v>
      </c>
      <c r="AI16" s="59">
        <f t="shared" si="0"/>
        <v>43666</v>
      </c>
      <c r="AJ16" s="60">
        <f t="shared" si="0"/>
        <v>43667</v>
      </c>
      <c r="AK16" s="58">
        <f t="shared" si="0"/>
        <v>43668</v>
      </c>
      <c r="AL16" s="59">
        <f t="shared" si="0"/>
        <v>43669</v>
      </c>
      <c r="AM16" s="59">
        <f t="shared" si="0"/>
        <v>43670</v>
      </c>
      <c r="AN16" s="59">
        <f t="shared" si="0"/>
        <v>43671</v>
      </c>
      <c r="AO16" s="59">
        <f t="shared" si="0"/>
        <v>43672</v>
      </c>
      <c r="AP16" s="59">
        <f t="shared" si="0"/>
        <v>43673</v>
      </c>
      <c r="AQ16" s="60">
        <f t="shared" si="0"/>
        <v>43674</v>
      </c>
      <c r="AR16" s="58">
        <f t="shared" si="0"/>
        <v>43675</v>
      </c>
      <c r="AS16" s="59">
        <f t="shared" si="0"/>
        <v>43676</v>
      </c>
      <c r="AT16" s="59">
        <f t="shared" si="0"/>
        <v>43677</v>
      </c>
      <c r="AU16" s="59">
        <f t="shared" si="0"/>
        <v>43678</v>
      </c>
      <c r="AV16" s="59">
        <f t="shared" si="0"/>
        <v>43679</v>
      </c>
      <c r="AW16" s="59">
        <f t="shared" si="0"/>
        <v>43680</v>
      </c>
      <c r="AX16" s="60">
        <f t="shared" si="0"/>
        <v>43681</v>
      </c>
      <c r="AY16" s="157"/>
      <c r="AZ16" s="16"/>
    </row>
    <row r="17" spans="1:51" s="68" customFormat="1" ht="24.9" customHeight="1" x14ac:dyDescent="0.35">
      <c r="A17" s="62"/>
      <c r="B17" s="62"/>
      <c r="C17" s="62"/>
      <c r="D17" s="63" t="s">
        <v>7</v>
      </c>
      <c r="E17" s="64" t="s">
        <v>93</v>
      </c>
      <c r="F17" s="65"/>
      <c r="G17" s="103"/>
      <c r="H17" s="104">
        <f>+MIN(H18:H37)</f>
        <v>43650</v>
      </c>
      <c r="I17" s="98">
        <f>+MIN(I18:I37)</f>
        <v>43650</v>
      </c>
      <c r="J17" s="104">
        <f>+MAX(J18:J37)</f>
        <v>43778</v>
      </c>
      <c r="K17" s="98">
        <f>+MAX(K18:K37)</f>
        <v>43778</v>
      </c>
      <c r="L17" s="114"/>
      <c r="M17" s="66"/>
      <c r="N17" s="121"/>
      <c r="O17" s="66"/>
      <c r="P17" s="123"/>
      <c r="Q17" s="124"/>
      <c r="R17" s="124"/>
      <c r="S17" s="124"/>
      <c r="T17" s="124"/>
      <c r="U17" s="124"/>
      <c r="V17" s="125"/>
      <c r="W17" s="123"/>
      <c r="X17" s="124"/>
      <c r="Y17" s="124"/>
      <c r="Z17" s="124"/>
      <c r="AA17" s="124"/>
      <c r="AB17" s="124"/>
      <c r="AC17" s="125"/>
      <c r="AD17" s="123"/>
      <c r="AE17" s="124"/>
      <c r="AF17" s="124"/>
      <c r="AG17" s="124"/>
      <c r="AH17" s="124"/>
      <c r="AI17" s="124"/>
      <c r="AJ17" s="125"/>
      <c r="AK17" s="123"/>
      <c r="AL17" s="124"/>
      <c r="AM17" s="124"/>
      <c r="AN17" s="124"/>
      <c r="AO17" s="124"/>
      <c r="AP17" s="124"/>
      <c r="AQ17" s="125"/>
      <c r="AR17" s="123"/>
      <c r="AS17" s="124"/>
      <c r="AT17" s="124"/>
      <c r="AU17" s="124"/>
      <c r="AV17" s="124"/>
      <c r="AW17" s="124"/>
      <c r="AX17" s="125"/>
      <c r="AY17" s="67"/>
    </row>
    <row r="18" spans="1:51" s="25" customFormat="1" ht="24.9" hidden="1" customHeight="1" x14ac:dyDescent="0.35">
      <c r="A18" s="18"/>
      <c r="B18" s="18"/>
      <c r="C18" s="18"/>
      <c r="D18" s="19"/>
      <c r="E18" s="20"/>
      <c r="F18" s="21"/>
      <c r="G18" s="106"/>
      <c r="H18" s="107"/>
      <c r="I18" s="22"/>
      <c r="J18" s="107"/>
      <c r="K18" s="23"/>
      <c r="L18" s="116"/>
      <c r="M18" s="22"/>
      <c r="N18" s="107"/>
      <c r="O18" s="22"/>
      <c r="P18" s="126" t="s">
        <v>8</v>
      </c>
      <c r="Q18" s="127" t="s">
        <v>9</v>
      </c>
      <c r="R18" s="127" t="s">
        <v>10</v>
      </c>
      <c r="S18" s="127" t="s">
        <v>11</v>
      </c>
      <c r="T18" s="127" t="s">
        <v>12</v>
      </c>
      <c r="U18" s="127" t="s">
        <v>13</v>
      </c>
      <c r="V18" s="128" t="s">
        <v>14</v>
      </c>
      <c r="W18" s="126" t="s">
        <v>15</v>
      </c>
      <c r="X18" s="127" t="s">
        <v>16</v>
      </c>
      <c r="Y18" s="127" t="s">
        <v>17</v>
      </c>
      <c r="Z18" s="127" t="s">
        <v>18</v>
      </c>
      <c r="AA18" s="127" t="s">
        <v>19</v>
      </c>
      <c r="AB18" s="127" t="s">
        <v>20</v>
      </c>
      <c r="AC18" s="128" t="s">
        <v>21</v>
      </c>
      <c r="AD18" s="126" t="s">
        <v>22</v>
      </c>
      <c r="AE18" s="127" t="s">
        <v>23</v>
      </c>
      <c r="AF18" s="127" t="s">
        <v>24</v>
      </c>
      <c r="AG18" s="127" t="s">
        <v>25</v>
      </c>
      <c r="AH18" s="127" t="s">
        <v>26</v>
      </c>
      <c r="AI18" s="127" t="s">
        <v>27</v>
      </c>
      <c r="AJ18" s="128" t="s">
        <v>28</v>
      </c>
      <c r="AK18" s="126" t="s">
        <v>29</v>
      </c>
      <c r="AL18" s="127" t="s">
        <v>30</v>
      </c>
      <c r="AM18" s="127" t="s">
        <v>31</v>
      </c>
      <c r="AN18" s="127" t="s">
        <v>32</v>
      </c>
      <c r="AO18" s="127" t="s">
        <v>33</v>
      </c>
      <c r="AP18" s="127" t="s">
        <v>34</v>
      </c>
      <c r="AQ18" s="128" t="s">
        <v>35</v>
      </c>
      <c r="AR18" s="129" t="s">
        <v>36</v>
      </c>
      <c r="AS18" s="127" t="s">
        <v>37</v>
      </c>
      <c r="AT18" s="127" t="s">
        <v>38</v>
      </c>
      <c r="AU18" s="127" t="s">
        <v>39</v>
      </c>
      <c r="AV18" s="127" t="s">
        <v>40</v>
      </c>
      <c r="AW18" s="127" t="s">
        <v>41</v>
      </c>
      <c r="AX18" s="130" t="s">
        <v>42</v>
      </c>
      <c r="AY18" s="24"/>
    </row>
    <row r="19" spans="1:51" s="90" customFormat="1" ht="24.9" customHeight="1" x14ac:dyDescent="0.35">
      <c r="A19" s="86"/>
      <c r="B19" s="86"/>
      <c r="C19" s="86"/>
      <c r="D19" s="87" t="s">
        <v>81</v>
      </c>
      <c r="E19" s="88" t="s">
        <v>95</v>
      </c>
      <c r="F19" s="91"/>
      <c r="G19" s="110"/>
      <c r="H19" s="105">
        <f>+MIN(H20:H25)</f>
        <v>43650</v>
      </c>
      <c r="I19" s="89">
        <f>+MIN(I20:I25)</f>
        <v>43650</v>
      </c>
      <c r="J19" s="105">
        <f>+MAX(J20:J25)</f>
        <v>43778</v>
      </c>
      <c r="K19" s="89">
        <f>+MAX(K20:K25)</f>
        <v>43778</v>
      </c>
      <c r="L19" s="118"/>
      <c r="M19" s="92"/>
      <c r="N19" s="115"/>
      <c r="O19" s="93"/>
      <c r="P19" s="136">
        <f t="shared" ref="P19:P33" si="1">+IF(AND(P$16&gt;=$I19,P$16&lt;=$K19),"",0)</f>
        <v>0</v>
      </c>
      <c r="Q19" s="137">
        <f t="shared" ref="Q19:Z20" si="2">+IF(AND(Q$16&gt;=$I19,Q$16&lt;=$K19),"",0)</f>
        <v>0</v>
      </c>
      <c r="R19" s="137">
        <f t="shared" si="2"/>
        <v>0</v>
      </c>
      <c r="S19" s="137" t="str">
        <f t="shared" si="2"/>
        <v/>
      </c>
      <c r="T19" s="137" t="str">
        <f t="shared" si="2"/>
        <v/>
      </c>
      <c r="U19" s="137" t="str">
        <f t="shared" si="2"/>
        <v/>
      </c>
      <c r="V19" s="138" t="str">
        <f t="shared" si="2"/>
        <v/>
      </c>
      <c r="W19" s="136" t="str">
        <f t="shared" si="2"/>
        <v/>
      </c>
      <c r="X19" s="139" t="str">
        <f t="shared" si="2"/>
        <v/>
      </c>
      <c r="Y19" s="139" t="str">
        <f t="shared" si="2"/>
        <v/>
      </c>
      <c r="Z19" s="139" t="str">
        <f t="shared" si="2"/>
        <v/>
      </c>
      <c r="AA19" s="139" t="str">
        <f t="shared" ref="AA19:AJ20" si="3">+IF(AND(AA$16&gt;=$I19,AA$16&lt;=$K19),"",0)</f>
        <v/>
      </c>
      <c r="AB19" s="139" t="str">
        <f t="shared" si="3"/>
        <v/>
      </c>
      <c r="AC19" s="140" t="str">
        <f t="shared" si="3"/>
        <v/>
      </c>
      <c r="AD19" s="136" t="str">
        <f t="shared" si="3"/>
        <v/>
      </c>
      <c r="AE19" s="139" t="str">
        <f t="shared" si="3"/>
        <v/>
      </c>
      <c r="AF19" s="139" t="str">
        <f t="shared" si="3"/>
        <v/>
      </c>
      <c r="AG19" s="139" t="str">
        <f t="shared" si="3"/>
        <v/>
      </c>
      <c r="AH19" s="139" t="str">
        <f t="shared" si="3"/>
        <v/>
      </c>
      <c r="AI19" s="139" t="str">
        <f t="shared" si="3"/>
        <v/>
      </c>
      <c r="AJ19" s="140" t="str">
        <f t="shared" si="3"/>
        <v/>
      </c>
      <c r="AK19" s="136" t="str">
        <f t="shared" ref="AK19:AX20" si="4">+IF(AND(AK$16&gt;=$I19,AK$16&lt;=$K19),"",0)</f>
        <v/>
      </c>
      <c r="AL19" s="139" t="str">
        <f t="shared" si="4"/>
        <v/>
      </c>
      <c r="AM19" s="139" t="str">
        <f t="shared" si="4"/>
        <v/>
      </c>
      <c r="AN19" s="139" t="str">
        <f t="shared" si="4"/>
        <v/>
      </c>
      <c r="AO19" s="139" t="str">
        <f t="shared" si="4"/>
        <v/>
      </c>
      <c r="AP19" s="139" t="str">
        <f t="shared" si="4"/>
        <v/>
      </c>
      <c r="AQ19" s="140" t="str">
        <f t="shared" si="4"/>
        <v/>
      </c>
      <c r="AR19" s="137" t="str">
        <f t="shared" si="4"/>
        <v/>
      </c>
      <c r="AS19" s="137" t="str">
        <f t="shared" si="4"/>
        <v/>
      </c>
      <c r="AT19" s="137" t="str">
        <f t="shared" si="4"/>
        <v/>
      </c>
      <c r="AU19" s="137" t="str">
        <f t="shared" si="4"/>
        <v/>
      </c>
      <c r="AV19" s="137" t="str">
        <f t="shared" si="4"/>
        <v/>
      </c>
      <c r="AW19" s="137" t="str">
        <f t="shared" si="4"/>
        <v/>
      </c>
      <c r="AX19" s="137" t="str">
        <f t="shared" si="4"/>
        <v/>
      </c>
      <c r="AY19" s="94"/>
    </row>
    <row r="20" spans="1:51" s="26" customFormat="1" ht="27.5" customHeight="1" outlineLevel="1" x14ac:dyDescent="0.35">
      <c r="A20" s="13"/>
      <c r="B20" s="13"/>
      <c r="C20" s="13"/>
      <c r="D20" s="69">
        <v>1</v>
      </c>
      <c r="E20" s="70" t="s">
        <v>56</v>
      </c>
      <c r="F20" s="49">
        <v>0</v>
      </c>
      <c r="G20" s="108" t="str">
        <f t="shared" ref="G20:G25" si="5">+IF(AND($H20&gt;=$I20,$J20&gt;=$K20),"YES","NO")</f>
        <v>YES</v>
      </c>
      <c r="H20" s="111">
        <v>43650</v>
      </c>
      <c r="I20" s="111">
        <v>43650</v>
      </c>
      <c r="J20" s="109">
        <f>+H20+L20-1</f>
        <v>43669</v>
      </c>
      <c r="K20" s="35">
        <f>+I20+M20-1</f>
        <v>43669</v>
      </c>
      <c r="L20" s="117">
        <v>20</v>
      </c>
      <c r="M20" s="36">
        <v>20</v>
      </c>
      <c r="N20" s="122">
        <v>8</v>
      </c>
      <c r="O20" s="37">
        <v>8</v>
      </c>
      <c r="P20" s="131">
        <f t="shared" si="1"/>
        <v>0</v>
      </c>
      <c r="Q20" s="132">
        <f t="shared" si="2"/>
        <v>0</v>
      </c>
      <c r="R20" s="132">
        <f t="shared" si="2"/>
        <v>0</v>
      </c>
      <c r="S20" s="132" t="str">
        <f t="shared" si="2"/>
        <v/>
      </c>
      <c r="T20" s="132" t="str">
        <f t="shared" si="2"/>
        <v/>
      </c>
      <c r="U20" s="132" t="str">
        <f t="shared" si="2"/>
        <v/>
      </c>
      <c r="V20" s="133" t="str">
        <f t="shared" si="2"/>
        <v/>
      </c>
      <c r="W20" s="131" t="str">
        <f t="shared" si="2"/>
        <v/>
      </c>
      <c r="X20" s="134" t="str">
        <f t="shared" si="2"/>
        <v/>
      </c>
      <c r="Y20" s="134" t="str">
        <f t="shared" si="2"/>
        <v/>
      </c>
      <c r="Z20" s="134" t="str">
        <f t="shared" si="2"/>
        <v/>
      </c>
      <c r="AA20" s="134" t="str">
        <f t="shared" si="3"/>
        <v/>
      </c>
      <c r="AB20" s="134" t="str">
        <f t="shared" si="3"/>
        <v/>
      </c>
      <c r="AC20" s="135" t="str">
        <f t="shared" si="3"/>
        <v/>
      </c>
      <c r="AD20" s="131" t="str">
        <f t="shared" si="3"/>
        <v/>
      </c>
      <c r="AE20" s="134" t="str">
        <f t="shared" si="3"/>
        <v/>
      </c>
      <c r="AF20" s="134" t="str">
        <f t="shared" si="3"/>
        <v/>
      </c>
      <c r="AG20" s="134" t="str">
        <f t="shared" si="3"/>
        <v/>
      </c>
      <c r="AH20" s="134" t="str">
        <f t="shared" si="3"/>
        <v/>
      </c>
      <c r="AI20" s="134" t="str">
        <f t="shared" si="3"/>
        <v/>
      </c>
      <c r="AJ20" s="135" t="str">
        <f t="shared" si="3"/>
        <v/>
      </c>
      <c r="AK20" s="131" t="str">
        <f t="shared" si="4"/>
        <v/>
      </c>
      <c r="AL20" s="134" t="str">
        <f t="shared" si="4"/>
        <v/>
      </c>
      <c r="AM20" s="134">
        <f t="shared" si="4"/>
        <v>0</v>
      </c>
      <c r="AN20" s="134">
        <f t="shared" si="4"/>
        <v>0</v>
      </c>
      <c r="AO20" s="134">
        <f t="shared" si="4"/>
        <v>0</v>
      </c>
      <c r="AP20" s="134">
        <f t="shared" si="4"/>
        <v>0</v>
      </c>
      <c r="AQ20" s="135">
        <f t="shared" si="4"/>
        <v>0</v>
      </c>
      <c r="AR20" s="132">
        <f t="shared" si="4"/>
        <v>0</v>
      </c>
      <c r="AS20" s="132">
        <f t="shared" si="4"/>
        <v>0</v>
      </c>
      <c r="AT20" s="132">
        <f t="shared" si="4"/>
        <v>0</v>
      </c>
      <c r="AU20" s="132">
        <f t="shared" si="4"/>
        <v>0</v>
      </c>
      <c r="AV20" s="132">
        <f t="shared" si="4"/>
        <v>0</v>
      </c>
      <c r="AW20" s="132">
        <f t="shared" si="4"/>
        <v>0</v>
      </c>
      <c r="AX20" s="132">
        <f t="shared" si="4"/>
        <v>0</v>
      </c>
      <c r="AY20" s="40"/>
    </row>
    <row r="21" spans="1:51" s="26" customFormat="1" ht="27.5" customHeight="1" outlineLevel="1" x14ac:dyDescent="0.35">
      <c r="A21" s="13"/>
      <c r="B21" s="13"/>
      <c r="C21" s="13"/>
      <c r="D21" s="69">
        <f>+D20+1</f>
        <v>2</v>
      </c>
      <c r="E21" s="70" t="s">
        <v>57</v>
      </c>
      <c r="F21" s="49">
        <v>0</v>
      </c>
      <c r="G21" s="108" t="str">
        <f t="shared" si="5"/>
        <v>YES</v>
      </c>
      <c r="H21" s="111">
        <v>43669</v>
      </c>
      <c r="I21" s="111">
        <v>43669</v>
      </c>
      <c r="J21" s="109">
        <f t="shared" ref="J21:J25" si="6">+H21+L21-1</f>
        <v>43673</v>
      </c>
      <c r="K21" s="35">
        <f t="shared" ref="K21:K25" si="7">+I21+M21-1</f>
        <v>43673</v>
      </c>
      <c r="L21" s="117">
        <v>5</v>
      </c>
      <c r="M21" s="36">
        <v>5</v>
      </c>
      <c r="N21" s="122">
        <v>10</v>
      </c>
      <c r="O21" s="122">
        <v>10</v>
      </c>
      <c r="P21" s="131">
        <f t="shared" si="1"/>
        <v>0</v>
      </c>
      <c r="Q21" s="132">
        <f t="shared" ref="Q21:Z30" si="8">+IF(AND(Q$16&gt;=$I21,Q$16&lt;=$K21),"",0)</f>
        <v>0</v>
      </c>
      <c r="R21" s="132">
        <f t="shared" si="8"/>
        <v>0</v>
      </c>
      <c r="S21" s="132">
        <f t="shared" si="8"/>
        <v>0</v>
      </c>
      <c r="T21" s="132">
        <f t="shared" si="8"/>
        <v>0</v>
      </c>
      <c r="U21" s="132">
        <f t="shared" si="8"/>
        <v>0</v>
      </c>
      <c r="V21" s="133">
        <f t="shared" si="8"/>
        <v>0</v>
      </c>
      <c r="W21" s="131">
        <f t="shared" si="8"/>
        <v>0</v>
      </c>
      <c r="X21" s="134">
        <f t="shared" si="8"/>
        <v>0</v>
      </c>
      <c r="Y21" s="134">
        <f t="shared" si="8"/>
        <v>0</v>
      </c>
      <c r="Z21" s="134">
        <f t="shared" si="8"/>
        <v>0</v>
      </c>
      <c r="AA21" s="134">
        <f t="shared" ref="AA21:AJ30" si="9">+IF(AND(AA$16&gt;=$I21,AA$16&lt;=$K21),"",0)</f>
        <v>0</v>
      </c>
      <c r="AB21" s="134">
        <f t="shared" si="9"/>
        <v>0</v>
      </c>
      <c r="AC21" s="135">
        <f t="shared" si="9"/>
        <v>0</v>
      </c>
      <c r="AD21" s="131">
        <f t="shared" si="9"/>
        <v>0</v>
      </c>
      <c r="AE21" s="134">
        <f t="shared" si="9"/>
        <v>0</v>
      </c>
      <c r="AF21" s="134">
        <f t="shared" si="9"/>
        <v>0</v>
      </c>
      <c r="AG21" s="134">
        <f t="shared" si="9"/>
        <v>0</v>
      </c>
      <c r="AH21" s="134">
        <f t="shared" si="9"/>
        <v>0</v>
      </c>
      <c r="AI21" s="134">
        <f t="shared" si="9"/>
        <v>0</v>
      </c>
      <c r="AJ21" s="135">
        <f t="shared" si="9"/>
        <v>0</v>
      </c>
      <c r="AK21" s="131">
        <f t="shared" ref="AK21:AX30" si="10">+IF(AND(AK$16&gt;=$I21,AK$16&lt;=$K21),"",0)</f>
        <v>0</v>
      </c>
      <c r="AL21" s="134" t="str">
        <f t="shared" si="10"/>
        <v/>
      </c>
      <c r="AM21" s="134" t="str">
        <f t="shared" si="10"/>
        <v/>
      </c>
      <c r="AN21" s="134" t="str">
        <f t="shared" si="10"/>
        <v/>
      </c>
      <c r="AO21" s="134" t="str">
        <f t="shared" si="10"/>
        <v/>
      </c>
      <c r="AP21" s="134" t="str">
        <f t="shared" si="10"/>
        <v/>
      </c>
      <c r="AQ21" s="135">
        <f t="shared" si="10"/>
        <v>0</v>
      </c>
      <c r="AR21" s="132">
        <f t="shared" si="10"/>
        <v>0</v>
      </c>
      <c r="AS21" s="132">
        <f t="shared" si="10"/>
        <v>0</v>
      </c>
      <c r="AT21" s="132">
        <f t="shared" si="10"/>
        <v>0</v>
      </c>
      <c r="AU21" s="132">
        <f t="shared" si="10"/>
        <v>0</v>
      </c>
      <c r="AV21" s="132">
        <f t="shared" si="10"/>
        <v>0</v>
      </c>
      <c r="AW21" s="132">
        <f t="shared" si="10"/>
        <v>0</v>
      </c>
      <c r="AX21" s="132">
        <f t="shared" si="10"/>
        <v>0</v>
      </c>
      <c r="AY21" s="40"/>
    </row>
    <row r="22" spans="1:51" s="26" customFormat="1" ht="27.5" customHeight="1" outlineLevel="1" x14ac:dyDescent="0.35">
      <c r="A22" s="13"/>
      <c r="B22" s="13"/>
      <c r="C22" s="13"/>
      <c r="D22" s="69">
        <f t="shared" ref="D22:D25" si="11">+D21+1</f>
        <v>3</v>
      </c>
      <c r="E22" s="70" t="s">
        <v>58</v>
      </c>
      <c r="F22" s="49">
        <v>0</v>
      </c>
      <c r="G22" s="108" t="str">
        <f t="shared" si="5"/>
        <v>YES</v>
      </c>
      <c r="H22" s="111">
        <v>43670</v>
      </c>
      <c r="I22" s="111">
        <v>43670</v>
      </c>
      <c r="J22" s="109">
        <f t="shared" si="6"/>
        <v>43676</v>
      </c>
      <c r="K22" s="35">
        <f t="shared" si="7"/>
        <v>43676</v>
      </c>
      <c r="L22" s="117">
        <v>7</v>
      </c>
      <c r="M22" s="36">
        <v>7</v>
      </c>
      <c r="N22" s="122">
        <v>3</v>
      </c>
      <c r="O22" s="37">
        <v>3</v>
      </c>
      <c r="P22" s="131">
        <f t="shared" si="1"/>
        <v>0</v>
      </c>
      <c r="Q22" s="132">
        <f t="shared" si="8"/>
        <v>0</v>
      </c>
      <c r="R22" s="132">
        <f t="shared" si="8"/>
        <v>0</v>
      </c>
      <c r="S22" s="132">
        <f t="shared" si="8"/>
        <v>0</v>
      </c>
      <c r="T22" s="132">
        <f t="shared" si="8"/>
        <v>0</v>
      </c>
      <c r="U22" s="132">
        <f t="shared" si="8"/>
        <v>0</v>
      </c>
      <c r="V22" s="133">
        <f t="shared" si="8"/>
        <v>0</v>
      </c>
      <c r="W22" s="131">
        <f t="shared" si="8"/>
        <v>0</v>
      </c>
      <c r="X22" s="134">
        <f t="shared" si="8"/>
        <v>0</v>
      </c>
      <c r="Y22" s="134">
        <f t="shared" si="8"/>
        <v>0</v>
      </c>
      <c r="Z22" s="134">
        <f t="shared" si="8"/>
        <v>0</v>
      </c>
      <c r="AA22" s="134">
        <f t="shared" si="9"/>
        <v>0</v>
      </c>
      <c r="AB22" s="134">
        <f t="shared" si="9"/>
        <v>0</v>
      </c>
      <c r="AC22" s="135">
        <f t="shared" si="9"/>
        <v>0</v>
      </c>
      <c r="AD22" s="131">
        <f t="shared" si="9"/>
        <v>0</v>
      </c>
      <c r="AE22" s="134">
        <f t="shared" si="9"/>
        <v>0</v>
      </c>
      <c r="AF22" s="134">
        <f t="shared" si="9"/>
        <v>0</v>
      </c>
      <c r="AG22" s="134">
        <f t="shared" si="9"/>
        <v>0</v>
      </c>
      <c r="AH22" s="134">
        <f t="shared" si="9"/>
        <v>0</v>
      </c>
      <c r="AI22" s="134">
        <f t="shared" si="9"/>
        <v>0</v>
      </c>
      <c r="AJ22" s="135">
        <f t="shared" si="9"/>
        <v>0</v>
      </c>
      <c r="AK22" s="131">
        <f t="shared" si="10"/>
        <v>0</v>
      </c>
      <c r="AL22" s="134">
        <f t="shared" si="10"/>
        <v>0</v>
      </c>
      <c r="AM22" s="134" t="str">
        <f t="shared" si="10"/>
        <v/>
      </c>
      <c r="AN22" s="134" t="str">
        <f t="shared" si="10"/>
        <v/>
      </c>
      <c r="AO22" s="134" t="str">
        <f t="shared" si="10"/>
        <v/>
      </c>
      <c r="AP22" s="134" t="str">
        <f t="shared" si="10"/>
        <v/>
      </c>
      <c r="AQ22" s="135" t="str">
        <f t="shared" si="10"/>
        <v/>
      </c>
      <c r="AR22" s="132" t="str">
        <f t="shared" si="10"/>
        <v/>
      </c>
      <c r="AS22" s="132" t="str">
        <f t="shared" si="10"/>
        <v/>
      </c>
      <c r="AT22" s="132">
        <f t="shared" si="10"/>
        <v>0</v>
      </c>
      <c r="AU22" s="132">
        <f t="shared" si="10"/>
        <v>0</v>
      </c>
      <c r="AV22" s="132">
        <f t="shared" si="10"/>
        <v>0</v>
      </c>
      <c r="AW22" s="132">
        <f t="shared" si="10"/>
        <v>0</v>
      </c>
      <c r="AX22" s="132">
        <f t="shared" si="10"/>
        <v>0</v>
      </c>
      <c r="AY22" s="40"/>
    </row>
    <row r="23" spans="1:51" s="26" customFormat="1" ht="27.5" customHeight="1" outlineLevel="1" x14ac:dyDescent="0.35">
      <c r="A23" s="13"/>
      <c r="B23" s="13"/>
      <c r="C23" s="13"/>
      <c r="D23" s="69">
        <f t="shared" si="11"/>
        <v>4</v>
      </c>
      <c r="E23" s="70" t="s">
        <v>59</v>
      </c>
      <c r="F23" s="49">
        <v>0</v>
      </c>
      <c r="G23" s="108" t="str">
        <f t="shared" si="5"/>
        <v>YES</v>
      </c>
      <c r="H23" s="111">
        <v>43674</v>
      </c>
      <c r="I23" s="111">
        <v>43674</v>
      </c>
      <c r="J23" s="109">
        <f t="shared" si="6"/>
        <v>43680</v>
      </c>
      <c r="K23" s="35">
        <f t="shared" si="7"/>
        <v>43680</v>
      </c>
      <c r="L23" s="117">
        <v>7</v>
      </c>
      <c r="M23" s="36">
        <v>7</v>
      </c>
      <c r="N23" s="122">
        <v>3</v>
      </c>
      <c r="O23" s="37">
        <v>3</v>
      </c>
      <c r="P23" s="131">
        <f t="shared" si="1"/>
        <v>0</v>
      </c>
      <c r="Q23" s="132">
        <f t="shared" si="8"/>
        <v>0</v>
      </c>
      <c r="R23" s="132">
        <f t="shared" si="8"/>
        <v>0</v>
      </c>
      <c r="S23" s="132">
        <f t="shared" si="8"/>
        <v>0</v>
      </c>
      <c r="T23" s="132">
        <f t="shared" si="8"/>
        <v>0</v>
      </c>
      <c r="U23" s="132">
        <f t="shared" si="8"/>
        <v>0</v>
      </c>
      <c r="V23" s="133">
        <f t="shared" si="8"/>
        <v>0</v>
      </c>
      <c r="W23" s="131">
        <f t="shared" si="8"/>
        <v>0</v>
      </c>
      <c r="X23" s="134">
        <f t="shared" si="8"/>
        <v>0</v>
      </c>
      <c r="Y23" s="134">
        <f t="shared" si="8"/>
        <v>0</v>
      </c>
      <c r="Z23" s="134">
        <f t="shared" si="8"/>
        <v>0</v>
      </c>
      <c r="AA23" s="134">
        <f t="shared" si="9"/>
        <v>0</v>
      </c>
      <c r="AB23" s="134">
        <f t="shared" si="9"/>
        <v>0</v>
      </c>
      <c r="AC23" s="135">
        <f t="shared" si="9"/>
        <v>0</v>
      </c>
      <c r="AD23" s="131">
        <f t="shared" si="9"/>
        <v>0</v>
      </c>
      <c r="AE23" s="134">
        <f t="shared" si="9"/>
        <v>0</v>
      </c>
      <c r="AF23" s="134">
        <f t="shared" si="9"/>
        <v>0</v>
      </c>
      <c r="AG23" s="134">
        <f t="shared" si="9"/>
        <v>0</v>
      </c>
      <c r="AH23" s="134">
        <f t="shared" si="9"/>
        <v>0</v>
      </c>
      <c r="AI23" s="134">
        <f t="shared" si="9"/>
        <v>0</v>
      </c>
      <c r="AJ23" s="135">
        <f t="shared" si="9"/>
        <v>0</v>
      </c>
      <c r="AK23" s="131">
        <f t="shared" si="10"/>
        <v>0</v>
      </c>
      <c r="AL23" s="134">
        <f t="shared" si="10"/>
        <v>0</v>
      </c>
      <c r="AM23" s="134">
        <f t="shared" si="10"/>
        <v>0</v>
      </c>
      <c r="AN23" s="134">
        <f t="shared" si="10"/>
        <v>0</v>
      </c>
      <c r="AO23" s="134">
        <f t="shared" si="10"/>
        <v>0</v>
      </c>
      <c r="AP23" s="134">
        <f t="shared" si="10"/>
        <v>0</v>
      </c>
      <c r="AQ23" s="135" t="str">
        <f t="shared" si="10"/>
        <v/>
      </c>
      <c r="AR23" s="132" t="str">
        <f t="shared" si="10"/>
        <v/>
      </c>
      <c r="AS23" s="132" t="str">
        <f t="shared" si="10"/>
        <v/>
      </c>
      <c r="AT23" s="132" t="str">
        <f t="shared" si="10"/>
        <v/>
      </c>
      <c r="AU23" s="132" t="str">
        <f t="shared" si="10"/>
        <v/>
      </c>
      <c r="AV23" s="132" t="str">
        <f t="shared" si="10"/>
        <v/>
      </c>
      <c r="AW23" s="132" t="str">
        <f t="shared" si="10"/>
        <v/>
      </c>
      <c r="AX23" s="132">
        <f t="shared" si="10"/>
        <v>0</v>
      </c>
      <c r="AY23" s="40"/>
    </row>
    <row r="24" spans="1:51" s="26" customFormat="1" ht="27.5" customHeight="1" outlineLevel="1" x14ac:dyDescent="0.35">
      <c r="A24" s="13"/>
      <c r="B24" s="13"/>
      <c r="C24" s="13"/>
      <c r="D24" s="69">
        <f t="shared" si="11"/>
        <v>5</v>
      </c>
      <c r="E24" s="70" t="s">
        <v>60</v>
      </c>
      <c r="F24" s="49">
        <v>0</v>
      </c>
      <c r="G24" s="108" t="str">
        <f t="shared" si="5"/>
        <v>YES</v>
      </c>
      <c r="H24" s="111">
        <v>43759</v>
      </c>
      <c r="I24" s="111">
        <v>43759</v>
      </c>
      <c r="J24" s="109">
        <f t="shared" si="6"/>
        <v>43778</v>
      </c>
      <c r="K24" s="35">
        <f t="shared" si="7"/>
        <v>43778</v>
      </c>
      <c r="L24" s="117">
        <v>20</v>
      </c>
      <c r="M24" s="36">
        <v>20</v>
      </c>
      <c r="N24" s="122">
        <v>8</v>
      </c>
      <c r="O24" s="37">
        <v>8</v>
      </c>
      <c r="P24" s="131">
        <f t="shared" si="1"/>
        <v>0</v>
      </c>
      <c r="Q24" s="132">
        <f t="shared" si="8"/>
        <v>0</v>
      </c>
      <c r="R24" s="132">
        <f t="shared" si="8"/>
        <v>0</v>
      </c>
      <c r="S24" s="132">
        <f t="shared" si="8"/>
        <v>0</v>
      </c>
      <c r="T24" s="132">
        <f t="shared" si="8"/>
        <v>0</v>
      </c>
      <c r="U24" s="132">
        <f t="shared" si="8"/>
        <v>0</v>
      </c>
      <c r="V24" s="133">
        <f t="shared" si="8"/>
        <v>0</v>
      </c>
      <c r="W24" s="131">
        <f t="shared" si="8"/>
        <v>0</v>
      </c>
      <c r="X24" s="134">
        <f t="shared" si="8"/>
        <v>0</v>
      </c>
      <c r="Y24" s="134">
        <f t="shared" si="8"/>
        <v>0</v>
      </c>
      <c r="Z24" s="134">
        <f t="shared" si="8"/>
        <v>0</v>
      </c>
      <c r="AA24" s="134">
        <f t="shared" si="9"/>
        <v>0</v>
      </c>
      <c r="AB24" s="134">
        <f t="shared" si="9"/>
        <v>0</v>
      </c>
      <c r="AC24" s="135">
        <f t="shared" si="9"/>
        <v>0</v>
      </c>
      <c r="AD24" s="131">
        <f t="shared" si="9"/>
        <v>0</v>
      </c>
      <c r="AE24" s="134">
        <f t="shared" si="9"/>
        <v>0</v>
      </c>
      <c r="AF24" s="134">
        <f t="shared" si="9"/>
        <v>0</v>
      </c>
      <c r="AG24" s="134">
        <f t="shared" si="9"/>
        <v>0</v>
      </c>
      <c r="AH24" s="134">
        <f t="shared" si="9"/>
        <v>0</v>
      </c>
      <c r="AI24" s="134">
        <f t="shared" si="9"/>
        <v>0</v>
      </c>
      <c r="AJ24" s="135">
        <f t="shared" si="9"/>
        <v>0</v>
      </c>
      <c r="AK24" s="131">
        <f t="shared" si="10"/>
        <v>0</v>
      </c>
      <c r="AL24" s="134">
        <f t="shared" si="10"/>
        <v>0</v>
      </c>
      <c r="AM24" s="134">
        <f t="shared" si="10"/>
        <v>0</v>
      </c>
      <c r="AN24" s="134">
        <f t="shared" si="10"/>
        <v>0</v>
      </c>
      <c r="AO24" s="134">
        <f t="shared" si="10"/>
        <v>0</v>
      </c>
      <c r="AP24" s="134">
        <f t="shared" si="10"/>
        <v>0</v>
      </c>
      <c r="AQ24" s="135">
        <f t="shared" si="10"/>
        <v>0</v>
      </c>
      <c r="AR24" s="132">
        <f t="shared" si="10"/>
        <v>0</v>
      </c>
      <c r="AS24" s="132">
        <f t="shared" si="10"/>
        <v>0</v>
      </c>
      <c r="AT24" s="132">
        <f t="shared" si="10"/>
        <v>0</v>
      </c>
      <c r="AU24" s="132">
        <f t="shared" si="10"/>
        <v>0</v>
      </c>
      <c r="AV24" s="132">
        <f t="shared" si="10"/>
        <v>0</v>
      </c>
      <c r="AW24" s="132">
        <f t="shared" si="10"/>
        <v>0</v>
      </c>
      <c r="AX24" s="132">
        <f t="shared" si="10"/>
        <v>0</v>
      </c>
      <c r="AY24" s="40"/>
    </row>
    <row r="25" spans="1:51" s="26" customFormat="1" ht="27.5" customHeight="1" outlineLevel="1" x14ac:dyDescent="0.35">
      <c r="A25" s="13"/>
      <c r="B25" s="13"/>
      <c r="C25" s="13"/>
      <c r="D25" s="69">
        <f t="shared" si="11"/>
        <v>6</v>
      </c>
      <c r="E25" s="70" t="s">
        <v>61</v>
      </c>
      <c r="F25" s="49">
        <v>0</v>
      </c>
      <c r="G25" s="108" t="str">
        <f t="shared" si="5"/>
        <v>YES</v>
      </c>
      <c r="H25" s="111">
        <v>43772</v>
      </c>
      <c r="I25" s="111">
        <v>43772</v>
      </c>
      <c r="J25" s="109">
        <f t="shared" si="6"/>
        <v>43778</v>
      </c>
      <c r="K25" s="35">
        <f t="shared" si="7"/>
        <v>43778</v>
      </c>
      <c r="L25" s="117">
        <v>7</v>
      </c>
      <c r="M25" s="36">
        <v>7</v>
      </c>
      <c r="N25" s="122">
        <v>2</v>
      </c>
      <c r="O25" s="37">
        <v>2</v>
      </c>
      <c r="P25" s="131">
        <f t="shared" si="1"/>
        <v>0</v>
      </c>
      <c r="Q25" s="132">
        <f t="shared" si="8"/>
        <v>0</v>
      </c>
      <c r="R25" s="132">
        <f t="shared" si="8"/>
        <v>0</v>
      </c>
      <c r="S25" s="132">
        <f t="shared" si="8"/>
        <v>0</v>
      </c>
      <c r="T25" s="132">
        <f t="shared" si="8"/>
        <v>0</v>
      </c>
      <c r="U25" s="132">
        <f t="shared" si="8"/>
        <v>0</v>
      </c>
      <c r="V25" s="133">
        <f t="shared" si="8"/>
        <v>0</v>
      </c>
      <c r="W25" s="131">
        <f t="shared" si="8"/>
        <v>0</v>
      </c>
      <c r="X25" s="134">
        <f t="shared" si="8"/>
        <v>0</v>
      </c>
      <c r="Y25" s="134">
        <f t="shared" si="8"/>
        <v>0</v>
      </c>
      <c r="Z25" s="134">
        <f t="shared" si="8"/>
        <v>0</v>
      </c>
      <c r="AA25" s="134">
        <f t="shared" si="9"/>
        <v>0</v>
      </c>
      <c r="AB25" s="134">
        <f t="shared" si="9"/>
        <v>0</v>
      </c>
      <c r="AC25" s="135">
        <f t="shared" si="9"/>
        <v>0</v>
      </c>
      <c r="AD25" s="131">
        <f t="shared" si="9"/>
        <v>0</v>
      </c>
      <c r="AE25" s="134">
        <f t="shared" si="9"/>
        <v>0</v>
      </c>
      <c r="AF25" s="134">
        <f t="shared" si="9"/>
        <v>0</v>
      </c>
      <c r="AG25" s="134">
        <f t="shared" si="9"/>
        <v>0</v>
      </c>
      <c r="AH25" s="134">
        <f t="shared" si="9"/>
        <v>0</v>
      </c>
      <c r="AI25" s="134">
        <f t="shared" si="9"/>
        <v>0</v>
      </c>
      <c r="AJ25" s="135">
        <f t="shared" si="9"/>
        <v>0</v>
      </c>
      <c r="AK25" s="131">
        <f t="shared" si="10"/>
        <v>0</v>
      </c>
      <c r="AL25" s="134">
        <f t="shared" si="10"/>
        <v>0</v>
      </c>
      <c r="AM25" s="134">
        <f t="shared" si="10"/>
        <v>0</v>
      </c>
      <c r="AN25" s="134">
        <f t="shared" si="10"/>
        <v>0</v>
      </c>
      <c r="AO25" s="134">
        <f t="shared" si="10"/>
        <v>0</v>
      </c>
      <c r="AP25" s="134">
        <f t="shared" si="10"/>
        <v>0</v>
      </c>
      <c r="AQ25" s="135">
        <f t="shared" si="10"/>
        <v>0</v>
      </c>
      <c r="AR25" s="132">
        <f t="shared" si="10"/>
        <v>0</v>
      </c>
      <c r="AS25" s="132">
        <f t="shared" si="10"/>
        <v>0</v>
      </c>
      <c r="AT25" s="132">
        <f t="shared" si="10"/>
        <v>0</v>
      </c>
      <c r="AU25" s="132">
        <f t="shared" si="10"/>
        <v>0</v>
      </c>
      <c r="AV25" s="132">
        <f t="shared" si="10"/>
        <v>0</v>
      </c>
      <c r="AW25" s="132">
        <f t="shared" si="10"/>
        <v>0</v>
      </c>
      <c r="AX25" s="132">
        <f t="shared" si="10"/>
        <v>0</v>
      </c>
      <c r="AY25" s="40"/>
    </row>
    <row r="26" spans="1:51" s="90" customFormat="1" ht="24.9" customHeight="1" x14ac:dyDescent="0.35">
      <c r="A26" s="86"/>
      <c r="B26" s="86"/>
      <c r="C26" s="86"/>
      <c r="D26" s="95" t="s">
        <v>82</v>
      </c>
      <c r="E26" s="96" t="s">
        <v>62</v>
      </c>
      <c r="F26" s="97"/>
      <c r="G26" s="110"/>
      <c r="H26" s="105">
        <f>+MIN(H27:H37)</f>
        <v>43670</v>
      </c>
      <c r="I26" s="89">
        <f>+MIN(I27:I37)</f>
        <v>43670</v>
      </c>
      <c r="J26" s="105">
        <f>+MAX(J27:J37)</f>
        <v>43752</v>
      </c>
      <c r="K26" s="89">
        <f>+MAX(K27:K37)</f>
        <v>43752</v>
      </c>
      <c r="L26" s="119"/>
      <c r="M26" s="92"/>
      <c r="N26" s="115"/>
      <c r="O26" s="93"/>
      <c r="P26" s="131">
        <f t="shared" si="1"/>
        <v>0</v>
      </c>
      <c r="Q26" s="132">
        <f t="shared" si="8"/>
        <v>0</v>
      </c>
      <c r="R26" s="132">
        <f t="shared" si="8"/>
        <v>0</v>
      </c>
      <c r="S26" s="132">
        <f t="shared" si="8"/>
        <v>0</v>
      </c>
      <c r="T26" s="132">
        <f t="shared" si="8"/>
        <v>0</v>
      </c>
      <c r="U26" s="132">
        <f t="shared" si="8"/>
        <v>0</v>
      </c>
      <c r="V26" s="133">
        <f t="shared" si="8"/>
        <v>0</v>
      </c>
      <c r="W26" s="131">
        <f t="shared" si="8"/>
        <v>0</v>
      </c>
      <c r="X26" s="134">
        <f t="shared" si="8"/>
        <v>0</v>
      </c>
      <c r="Y26" s="134">
        <f t="shared" si="8"/>
        <v>0</v>
      </c>
      <c r="Z26" s="134">
        <f t="shared" si="8"/>
        <v>0</v>
      </c>
      <c r="AA26" s="134">
        <f t="shared" si="9"/>
        <v>0</v>
      </c>
      <c r="AB26" s="134">
        <f t="shared" si="9"/>
        <v>0</v>
      </c>
      <c r="AC26" s="135">
        <f t="shared" si="9"/>
        <v>0</v>
      </c>
      <c r="AD26" s="131">
        <f t="shared" si="9"/>
        <v>0</v>
      </c>
      <c r="AE26" s="134">
        <f t="shared" si="9"/>
        <v>0</v>
      </c>
      <c r="AF26" s="134">
        <f t="shared" si="9"/>
        <v>0</v>
      </c>
      <c r="AG26" s="134">
        <f t="shared" si="9"/>
        <v>0</v>
      </c>
      <c r="AH26" s="134">
        <f t="shared" si="9"/>
        <v>0</v>
      </c>
      <c r="AI26" s="134">
        <f t="shared" si="9"/>
        <v>0</v>
      </c>
      <c r="AJ26" s="140">
        <f t="shared" si="9"/>
        <v>0</v>
      </c>
      <c r="AK26" s="136">
        <f t="shared" si="10"/>
        <v>0</v>
      </c>
      <c r="AL26" s="139">
        <f t="shared" si="10"/>
        <v>0</v>
      </c>
      <c r="AM26" s="139" t="str">
        <f t="shared" si="10"/>
        <v/>
      </c>
      <c r="AN26" s="139" t="str">
        <f t="shared" si="10"/>
        <v/>
      </c>
      <c r="AO26" s="139" t="str">
        <f t="shared" si="10"/>
        <v/>
      </c>
      <c r="AP26" s="139" t="str">
        <f t="shared" si="10"/>
        <v/>
      </c>
      <c r="AQ26" s="140" t="str">
        <f t="shared" si="10"/>
        <v/>
      </c>
      <c r="AR26" s="137" t="str">
        <f t="shared" si="10"/>
        <v/>
      </c>
      <c r="AS26" s="137" t="str">
        <f t="shared" si="10"/>
        <v/>
      </c>
      <c r="AT26" s="137" t="str">
        <f t="shared" si="10"/>
        <v/>
      </c>
      <c r="AU26" s="137" t="str">
        <f t="shared" si="10"/>
        <v/>
      </c>
      <c r="AV26" s="137" t="str">
        <f t="shared" si="10"/>
        <v/>
      </c>
      <c r="AW26" s="137" t="str">
        <f t="shared" si="10"/>
        <v/>
      </c>
      <c r="AX26" s="137" t="str">
        <f t="shared" si="10"/>
        <v/>
      </c>
      <c r="AY26" s="94"/>
    </row>
    <row r="27" spans="1:51" s="26" customFormat="1" ht="26" outlineLevel="1" x14ac:dyDescent="0.35">
      <c r="A27" s="13"/>
      <c r="B27" s="13"/>
      <c r="C27" s="13"/>
      <c r="D27" s="69">
        <v>1</v>
      </c>
      <c r="E27" s="70" t="s">
        <v>83</v>
      </c>
      <c r="F27" s="49">
        <v>0</v>
      </c>
      <c r="G27" s="108" t="str">
        <f t="shared" ref="G27:G37" si="12">+IF(AND($H27&gt;=$I27,$J27&gt;=$K27),"YES","NO")</f>
        <v>YES</v>
      </c>
      <c r="H27" s="109">
        <v>43675</v>
      </c>
      <c r="I27" s="109">
        <v>43675</v>
      </c>
      <c r="J27" s="109">
        <f>+H27+L27-1</f>
        <v>43676</v>
      </c>
      <c r="K27" s="35">
        <f>+I27+M27-1</f>
        <v>43676</v>
      </c>
      <c r="L27" s="120">
        <v>2</v>
      </c>
      <c r="M27" s="120">
        <v>2</v>
      </c>
      <c r="N27" s="120">
        <v>2</v>
      </c>
      <c r="O27" s="120">
        <v>2</v>
      </c>
      <c r="P27" s="131">
        <f t="shared" si="1"/>
        <v>0</v>
      </c>
      <c r="Q27" s="132">
        <f t="shared" si="8"/>
        <v>0</v>
      </c>
      <c r="R27" s="132">
        <f t="shared" si="8"/>
        <v>0</v>
      </c>
      <c r="S27" s="132">
        <f t="shared" si="8"/>
        <v>0</v>
      </c>
      <c r="T27" s="132">
        <f t="shared" si="8"/>
        <v>0</v>
      </c>
      <c r="U27" s="132">
        <f t="shared" si="8"/>
        <v>0</v>
      </c>
      <c r="V27" s="133">
        <f t="shared" si="8"/>
        <v>0</v>
      </c>
      <c r="W27" s="131">
        <f t="shared" si="8"/>
        <v>0</v>
      </c>
      <c r="X27" s="134">
        <f t="shared" si="8"/>
        <v>0</v>
      </c>
      <c r="Y27" s="134">
        <f t="shared" si="8"/>
        <v>0</v>
      </c>
      <c r="Z27" s="134">
        <f t="shared" si="8"/>
        <v>0</v>
      </c>
      <c r="AA27" s="134">
        <f t="shared" si="9"/>
        <v>0</v>
      </c>
      <c r="AB27" s="134">
        <f t="shared" si="9"/>
        <v>0</v>
      </c>
      <c r="AC27" s="135">
        <f t="shared" si="9"/>
        <v>0</v>
      </c>
      <c r="AD27" s="131">
        <f t="shared" si="9"/>
        <v>0</v>
      </c>
      <c r="AE27" s="134">
        <f t="shared" si="9"/>
        <v>0</v>
      </c>
      <c r="AF27" s="134">
        <f t="shared" si="9"/>
        <v>0</v>
      </c>
      <c r="AG27" s="134">
        <f t="shared" si="9"/>
        <v>0</v>
      </c>
      <c r="AH27" s="134">
        <f t="shared" si="9"/>
        <v>0</v>
      </c>
      <c r="AI27" s="134">
        <f t="shared" si="9"/>
        <v>0</v>
      </c>
      <c r="AJ27" s="135">
        <f t="shared" si="9"/>
        <v>0</v>
      </c>
      <c r="AK27" s="131">
        <f t="shared" si="10"/>
        <v>0</v>
      </c>
      <c r="AL27" s="134">
        <f t="shared" si="10"/>
        <v>0</v>
      </c>
      <c r="AM27" s="134">
        <f t="shared" si="10"/>
        <v>0</v>
      </c>
      <c r="AN27" s="134">
        <f t="shared" si="10"/>
        <v>0</v>
      </c>
      <c r="AO27" s="134">
        <f t="shared" si="10"/>
        <v>0</v>
      </c>
      <c r="AP27" s="134">
        <f t="shared" si="10"/>
        <v>0</v>
      </c>
      <c r="AQ27" s="135">
        <f t="shared" si="10"/>
        <v>0</v>
      </c>
      <c r="AR27" s="132" t="str">
        <f t="shared" si="10"/>
        <v/>
      </c>
      <c r="AS27" s="132" t="str">
        <f t="shared" si="10"/>
        <v/>
      </c>
      <c r="AT27" s="132">
        <f t="shared" si="10"/>
        <v>0</v>
      </c>
      <c r="AU27" s="132">
        <f t="shared" si="10"/>
        <v>0</v>
      </c>
      <c r="AV27" s="132">
        <f t="shared" si="10"/>
        <v>0</v>
      </c>
      <c r="AW27" s="132">
        <f t="shared" si="10"/>
        <v>0</v>
      </c>
      <c r="AX27" s="132">
        <f t="shared" si="10"/>
        <v>0</v>
      </c>
      <c r="AY27" s="40"/>
    </row>
    <row r="28" spans="1:51" s="26" customFormat="1" ht="26" outlineLevel="1" x14ac:dyDescent="0.35">
      <c r="A28" s="13"/>
      <c r="B28" s="13"/>
      <c r="C28" s="13"/>
      <c r="D28" s="69">
        <f>+D27+1</f>
        <v>2</v>
      </c>
      <c r="E28" s="70" t="s">
        <v>84</v>
      </c>
      <c r="F28" s="49">
        <v>0</v>
      </c>
      <c r="G28" s="108" t="str">
        <f t="shared" si="12"/>
        <v>YES</v>
      </c>
      <c r="H28" s="109">
        <v>43678</v>
      </c>
      <c r="I28" s="109">
        <v>43678</v>
      </c>
      <c r="J28" s="109">
        <f t="shared" ref="J28:J37" si="13">+H28+L28-1</f>
        <v>43678</v>
      </c>
      <c r="K28" s="35">
        <f t="shared" ref="K28:K37" si="14">+I28+M28-1</f>
        <v>43678</v>
      </c>
      <c r="L28" s="120">
        <v>1</v>
      </c>
      <c r="M28" s="120">
        <v>1</v>
      </c>
      <c r="N28" s="120">
        <v>1</v>
      </c>
      <c r="O28" s="120">
        <v>1</v>
      </c>
      <c r="P28" s="131">
        <f t="shared" si="1"/>
        <v>0</v>
      </c>
      <c r="Q28" s="132">
        <f t="shared" si="8"/>
        <v>0</v>
      </c>
      <c r="R28" s="132">
        <f t="shared" si="8"/>
        <v>0</v>
      </c>
      <c r="S28" s="132">
        <f t="shared" si="8"/>
        <v>0</v>
      </c>
      <c r="T28" s="132">
        <f t="shared" si="8"/>
        <v>0</v>
      </c>
      <c r="U28" s="132">
        <f t="shared" si="8"/>
        <v>0</v>
      </c>
      <c r="V28" s="133">
        <f t="shared" si="8"/>
        <v>0</v>
      </c>
      <c r="W28" s="131">
        <f t="shared" si="8"/>
        <v>0</v>
      </c>
      <c r="X28" s="134">
        <f t="shared" si="8"/>
        <v>0</v>
      </c>
      <c r="Y28" s="134">
        <f t="shared" si="8"/>
        <v>0</v>
      </c>
      <c r="Z28" s="134">
        <f t="shared" si="8"/>
        <v>0</v>
      </c>
      <c r="AA28" s="134">
        <f t="shared" si="9"/>
        <v>0</v>
      </c>
      <c r="AB28" s="134">
        <f t="shared" si="9"/>
        <v>0</v>
      </c>
      <c r="AC28" s="135">
        <f t="shared" si="9"/>
        <v>0</v>
      </c>
      <c r="AD28" s="131">
        <f t="shared" si="9"/>
        <v>0</v>
      </c>
      <c r="AE28" s="134">
        <f t="shared" si="9"/>
        <v>0</v>
      </c>
      <c r="AF28" s="134">
        <f t="shared" si="9"/>
        <v>0</v>
      </c>
      <c r="AG28" s="134">
        <f t="shared" si="9"/>
        <v>0</v>
      </c>
      <c r="AH28" s="134">
        <f t="shared" si="9"/>
        <v>0</v>
      </c>
      <c r="AI28" s="134">
        <f t="shared" si="9"/>
        <v>0</v>
      </c>
      <c r="AJ28" s="135">
        <f t="shared" si="9"/>
        <v>0</v>
      </c>
      <c r="AK28" s="131">
        <f t="shared" si="10"/>
        <v>0</v>
      </c>
      <c r="AL28" s="134">
        <f t="shared" si="10"/>
        <v>0</v>
      </c>
      <c r="AM28" s="134">
        <f t="shared" si="10"/>
        <v>0</v>
      </c>
      <c r="AN28" s="134">
        <f t="shared" si="10"/>
        <v>0</v>
      </c>
      <c r="AO28" s="134">
        <f t="shared" si="10"/>
        <v>0</v>
      </c>
      <c r="AP28" s="134">
        <f t="shared" si="10"/>
        <v>0</v>
      </c>
      <c r="AQ28" s="135">
        <f t="shared" si="10"/>
        <v>0</v>
      </c>
      <c r="AR28" s="132">
        <f t="shared" si="10"/>
        <v>0</v>
      </c>
      <c r="AS28" s="132">
        <f t="shared" si="10"/>
        <v>0</v>
      </c>
      <c r="AT28" s="132">
        <f t="shared" si="10"/>
        <v>0</v>
      </c>
      <c r="AU28" s="132" t="str">
        <f t="shared" si="10"/>
        <v/>
      </c>
      <c r="AV28" s="132">
        <f t="shared" si="10"/>
        <v>0</v>
      </c>
      <c r="AW28" s="132">
        <f t="shared" si="10"/>
        <v>0</v>
      </c>
      <c r="AX28" s="132">
        <f t="shared" si="10"/>
        <v>0</v>
      </c>
      <c r="AY28" s="40"/>
    </row>
    <row r="29" spans="1:51" s="26" customFormat="1" ht="26" outlineLevel="1" x14ac:dyDescent="0.35">
      <c r="A29" s="13"/>
      <c r="B29" s="13"/>
      <c r="C29" s="13"/>
      <c r="D29" s="69">
        <f t="shared" ref="D29:D37" si="15">+D28+1</f>
        <v>3</v>
      </c>
      <c r="E29" s="70" t="s">
        <v>85</v>
      </c>
      <c r="F29" s="49">
        <v>0</v>
      </c>
      <c r="G29" s="108" t="str">
        <f t="shared" si="12"/>
        <v>YES</v>
      </c>
      <c r="H29" s="109">
        <v>43670</v>
      </c>
      <c r="I29" s="109">
        <v>43670</v>
      </c>
      <c r="J29" s="109">
        <f t="shared" si="13"/>
        <v>43674</v>
      </c>
      <c r="K29" s="35">
        <f t="shared" si="14"/>
        <v>43674</v>
      </c>
      <c r="L29" s="120">
        <v>5</v>
      </c>
      <c r="M29" s="120">
        <v>5</v>
      </c>
      <c r="N29" s="120">
        <v>4</v>
      </c>
      <c r="O29" s="120">
        <v>4</v>
      </c>
      <c r="P29" s="131">
        <f t="shared" si="1"/>
        <v>0</v>
      </c>
      <c r="Q29" s="132">
        <f t="shared" si="8"/>
        <v>0</v>
      </c>
      <c r="R29" s="132">
        <f t="shared" si="8"/>
        <v>0</v>
      </c>
      <c r="S29" s="132">
        <f t="shared" si="8"/>
        <v>0</v>
      </c>
      <c r="T29" s="132">
        <f t="shared" si="8"/>
        <v>0</v>
      </c>
      <c r="U29" s="132">
        <f t="shared" si="8"/>
        <v>0</v>
      </c>
      <c r="V29" s="133">
        <f t="shared" si="8"/>
        <v>0</v>
      </c>
      <c r="W29" s="131">
        <f t="shared" si="8"/>
        <v>0</v>
      </c>
      <c r="X29" s="134">
        <f t="shared" si="8"/>
        <v>0</v>
      </c>
      <c r="Y29" s="134">
        <f t="shared" si="8"/>
        <v>0</v>
      </c>
      <c r="Z29" s="134">
        <f t="shared" si="8"/>
        <v>0</v>
      </c>
      <c r="AA29" s="134">
        <f t="shared" si="9"/>
        <v>0</v>
      </c>
      <c r="AB29" s="134">
        <f t="shared" si="9"/>
        <v>0</v>
      </c>
      <c r="AC29" s="135">
        <f t="shared" si="9"/>
        <v>0</v>
      </c>
      <c r="AD29" s="131">
        <f t="shared" si="9"/>
        <v>0</v>
      </c>
      <c r="AE29" s="134">
        <f t="shared" si="9"/>
        <v>0</v>
      </c>
      <c r="AF29" s="134">
        <f t="shared" si="9"/>
        <v>0</v>
      </c>
      <c r="AG29" s="134">
        <f t="shared" si="9"/>
        <v>0</v>
      </c>
      <c r="AH29" s="134">
        <f t="shared" si="9"/>
        <v>0</v>
      </c>
      <c r="AI29" s="134">
        <f t="shared" si="9"/>
        <v>0</v>
      </c>
      <c r="AJ29" s="135">
        <f t="shared" si="9"/>
        <v>0</v>
      </c>
      <c r="AK29" s="131">
        <f t="shared" si="10"/>
        <v>0</v>
      </c>
      <c r="AL29" s="134">
        <f t="shared" si="10"/>
        <v>0</v>
      </c>
      <c r="AM29" s="134" t="str">
        <f t="shared" si="10"/>
        <v/>
      </c>
      <c r="AN29" s="134" t="str">
        <f t="shared" si="10"/>
        <v/>
      </c>
      <c r="AO29" s="134" t="str">
        <f t="shared" si="10"/>
        <v/>
      </c>
      <c r="AP29" s="134" t="str">
        <f t="shared" si="10"/>
        <v/>
      </c>
      <c r="AQ29" s="135" t="str">
        <f t="shared" si="10"/>
        <v/>
      </c>
      <c r="AR29" s="132">
        <f t="shared" si="10"/>
        <v>0</v>
      </c>
      <c r="AS29" s="132">
        <f t="shared" si="10"/>
        <v>0</v>
      </c>
      <c r="AT29" s="132">
        <f t="shared" si="10"/>
        <v>0</v>
      </c>
      <c r="AU29" s="132">
        <f t="shared" si="10"/>
        <v>0</v>
      </c>
      <c r="AV29" s="132">
        <f t="shared" si="10"/>
        <v>0</v>
      </c>
      <c r="AW29" s="132">
        <f t="shared" si="10"/>
        <v>0</v>
      </c>
      <c r="AX29" s="132">
        <f t="shared" si="10"/>
        <v>0</v>
      </c>
      <c r="AY29" s="40"/>
    </row>
    <row r="30" spans="1:51" s="26" customFormat="1" ht="26" outlineLevel="1" x14ac:dyDescent="0.35">
      <c r="A30" s="13"/>
      <c r="B30" s="13"/>
      <c r="C30" s="13"/>
      <c r="D30" s="69">
        <f t="shared" si="15"/>
        <v>4</v>
      </c>
      <c r="E30" s="70" t="s">
        <v>86</v>
      </c>
      <c r="F30" s="49">
        <v>0</v>
      </c>
      <c r="G30" s="108" t="str">
        <f t="shared" si="12"/>
        <v>YES</v>
      </c>
      <c r="H30" s="109">
        <v>43675</v>
      </c>
      <c r="I30" s="109">
        <v>43675</v>
      </c>
      <c r="J30" s="109">
        <f t="shared" si="13"/>
        <v>43675</v>
      </c>
      <c r="K30" s="35">
        <f t="shared" si="14"/>
        <v>43675</v>
      </c>
      <c r="L30" s="120">
        <v>1</v>
      </c>
      <c r="M30" s="120">
        <v>1</v>
      </c>
      <c r="N30" s="120">
        <v>2</v>
      </c>
      <c r="O30" s="120">
        <v>2</v>
      </c>
      <c r="P30" s="131">
        <f t="shared" si="1"/>
        <v>0</v>
      </c>
      <c r="Q30" s="132">
        <f t="shared" si="8"/>
        <v>0</v>
      </c>
      <c r="R30" s="132">
        <f t="shared" si="8"/>
        <v>0</v>
      </c>
      <c r="S30" s="132">
        <f t="shared" si="8"/>
        <v>0</v>
      </c>
      <c r="T30" s="132">
        <f t="shared" si="8"/>
        <v>0</v>
      </c>
      <c r="U30" s="132">
        <f t="shared" si="8"/>
        <v>0</v>
      </c>
      <c r="V30" s="133">
        <f t="shared" si="8"/>
        <v>0</v>
      </c>
      <c r="W30" s="131">
        <f t="shared" si="8"/>
        <v>0</v>
      </c>
      <c r="X30" s="134">
        <f t="shared" si="8"/>
        <v>0</v>
      </c>
      <c r="Y30" s="134">
        <f t="shared" si="8"/>
        <v>0</v>
      </c>
      <c r="Z30" s="134">
        <f t="shared" si="8"/>
        <v>0</v>
      </c>
      <c r="AA30" s="134">
        <f t="shared" si="9"/>
        <v>0</v>
      </c>
      <c r="AB30" s="134">
        <f t="shared" si="9"/>
        <v>0</v>
      </c>
      <c r="AC30" s="135">
        <f t="shared" si="9"/>
        <v>0</v>
      </c>
      <c r="AD30" s="131">
        <f t="shared" si="9"/>
        <v>0</v>
      </c>
      <c r="AE30" s="134">
        <f t="shared" si="9"/>
        <v>0</v>
      </c>
      <c r="AF30" s="134">
        <f t="shared" si="9"/>
        <v>0</v>
      </c>
      <c r="AG30" s="134">
        <f t="shared" si="9"/>
        <v>0</v>
      </c>
      <c r="AH30" s="134">
        <f t="shared" si="9"/>
        <v>0</v>
      </c>
      <c r="AI30" s="134">
        <f t="shared" si="9"/>
        <v>0</v>
      </c>
      <c r="AJ30" s="135">
        <f t="shared" si="9"/>
        <v>0</v>
      </c>
      <c r="AK30" s="131">
        <f t="shared" si="10"/>
        <v>0</v>
      </c>
      <c r="AL30" s="134">
        <f t="shared" si="10"/>
        <v>0</v>
      </c>
      <c r="AM30" s="134">
        <f t="shared" si="10"/>
        <v>0</v>
      </c>
      <c r="AN30" s="134">
        <f t="shared" si="10"/>
        <v>0</v>
      </c>
      <c r="AO30" s="134">
        <f t="shared" si="10"/>
        <v>0</v>
      </c>
      <c r="AP30" s="134">
        <f t="shared" si="10"/>
        <v>0</v>
      </c>
      <c r="AQ30" s="135">
        <f t="shared" si="10"/>
        <v>0</v>
      </c>
      <c r="AR30" s="132" t="str">
        <f t="shared" si="10"/>
        <v/>
      </c>
      <c r="AS30" s="132">
        <f t="shared" si="10"/>
        <v>0</v>
      </c>
      <c r="AT30" s="132">
        <f t="shared" si="10"/>
        <v>0</v>
      </c>
      <c r="AU30" s="132">
        <f t="shared" si="10"/>
        <v>0</v>
      </c>
      <c r="AV30" s="132">
        <f t="shared" si="10"/>
        <v>0</v>
      </c>
      <c r="AW30" s="132">
        <f t="shared" si="10"/>
        <v>0</v>
      </c>
      <c r="AX30" s="132">
        <f t="shared" si="10"/>
        <v>0</v>
      </c>
      <c r="AY30" s="40"/>
    </row>
    <row r="31" spans="1:51" s="26" customFormat="1" ht="26" outlineLevel="1" x14ac:dyDescent="0.35">
      <c r="A31" s="13"/>
      <c r="B31" s="13"/>
      <c r="C31" s="13"/>
      <c r="D31" s="69">
        <f t="shared" si="15"/>
        <v>5</v>
      </c>
      <c r="E31" s="70" t="s">
        <v>87</v>
      </c>
      <c r="F31" s="49">
        <v>0</v>
      </c>
      <c r="G31" s="108" t="str">
        <f t="shared" si="12"/>
        <v>YES</v>
      </c>
      <c r="H31" s="109">
        <v>43678</v>
      </c>
      <c r="I31" s="109">
        <v>43678</v>
      </c>
      <c r="J31" s="109">
        <f t="shared" si="13"/>
        <v>43678</v>
      </c>
      <c r="K31" s="35">
        <f t="shared" si="14"/>
        <v>43678</v>
      </c>
      <c r="L31" s="120">
        <v>1</v>
      </c>
      <c r="M31" s="120">
        <v>1</v>
      </c>
      <c r="N31" s="120">
        <v>2</v>
      </c>
      <c r="O31" s="120">
        <v>2</v>
      </c>
      <c r="P31" s="131">
        <f t="shared" si="1"/>
        <v>0</v>
      </c>
      <c r="Q31" s="132">
        <f t="shared" ref="Q31:Z33" si="16">+IF(AND(Q$16&gt;=$I31,Q$16&lt;=$K31),"",0)</f>
        <v>0</v>
      </c>
      <c r="R31" s="132">
        <f t="shared" si="16"/>
        <v>0</v>
      </c>
      <c r="S31" s="132">
        <f t="shared" si="16"/>
        <v>0</v>
      </c>
      <c r="T31" s="132">
        <f t="shared" si="16"/>
        <v>0</v>
      </c>
      <c r="U31" s="132">
        <f t="shared" si="16"/>
        <v>0</v>
      </c>
      <c r="V31" s="133">
        <f t="shared" si="16"/>
        <v>0</v>
      </c>
      <c r="W31" s="131">
        <f t="shared" si="16"/>
        <v>0</v>
      </c>
      <c r="X31" s="134">
        <f t="shared" si="16"/>
        <v>0</v>
      </c>
      <c r="Y31" s="134">
        <f t="shared" si="16"/>
        <v>0</v>
      </c>
      <c r="Z31" s="134">
        <f t="shared" si="16"/>
        <v>0</v>
      </c>
      <c r="AA31" s="134">
        <f t="shared" ref="AA31:AJ33" si="17">+IF(AND(AA$16&gt;=$I31,AA$16&lt;=$K31),"",0)</f>
        <v>0</v>
      </c>
      <c r="AB31" s="134">
        <f t="shared" si="17"/>
        <v>0</v>
      </c>
      <c r="AC31" s="135">
        <f t="shared" si="17"/>
        <v>0</v>
      </c>
      <c r="AD31" s="131">
        <f t="shared" si="17"/>
        <v>0</v>
      </c>
      <c r="AE31" s="134">
        <f t="shared" si="17"/>
        <v>0</v>
      </c>
      <c r="AF31" s="134">
        <f t="shared" si="17"/>
        <v>0</v>
      </c>
      <c r="AG31" s="134">
        <f t="shared" si="17"/>
        <v>0</v>
      </c>
      <c r="AH31" s="134">
        <f t="shared" si="17"/>
        <v>0</v>
      </c>
      <c r="AI31" s="134">
        <f t="shared" si="17"/>
        <v>0</v>
      </c>
      <c r="AJ31" s="135">
        <f t="shared" si="17"/>
        <v>0</v>
      </c>
      <c r="AK31" s="131">
        <f t="shared" ref="AK31:AX33" si="18">+IF(AND(AK$16&gt;=$I31,AK$16&lt;=$K31),"",0)</f>
        <v>0</v>
      </c>
      <c r="AL31" s="134">
        <f t="shared" si="18"/>
        <v>0</v>
      </c>
      <c r="AM31" s="134">
        <f t="shared" si="18"/>
        <v>0</v>
      </c>
      <c r="AN31" s="134">
        <f t="shared" si="18"/>
        <v>0</v>
      </c>
      <c r="AO31" s="134">
        <f t="shared" si="18"/>
        <v>0</v>
      </c>
      <c r="AP31" s="134">
        <f t="shared" si="18"/>
        <v>0</v>
      </c>
      <c r="AQ31" s="135">
        <f t="shared" si="18"/>
        <v>0</v>
      </c>
      <c r="AR31" s="132">
        <f t="shared" si="18"/>
        <v>0</v>
      </c>
      <c r="AS31" s="132">
        <f t="shared" si="18"/>
        <v>0</v>
      </c>
      <c r="AT31" s="132">
        <f t="shared" si="18"/>
        <v>0</v>
      </c>
      <c r="AU31" s="132" t="str">
        <f t="shared" si="18"/>
        <v/>
      </c>
      <c r="AV31" s="132">
        <f t="shared" si="18"/>
        <v>0</v>
      </c>
      <c r="AW31" s="132">
        <f t="shared" si="18"/>
        <v>0</v>
      </c>
      <c r="AX31" s="132">
        <f t="shared" si="18"/>
        <v>0</v>
      </c>
      <c r="AY31" s="40"/>
    </row>
    <row r="32" spans="1:51" s="26" customFormat="1" ht="26" outlineLevel="1" x14ac:dyDescent="0.35">
      <c r="A32" s="13"/>
      <c r="B32" s="13"/>
      <c r="C32" s="13"/>
      <c r="D32" s="69">
        <f t="shared" si="15"/>
        <v>6</v>
      </c>
      <c r="E32" s="70" t="s">
        <v>88</v>
      </c>
      <c r="F32" s="49">
        <v>0</v>
      </c>
      <c r="G32" s="108" t="str">
        <f t="shared" si="12"/>
        <v>YES</v>
      </c>
      <c r="H32" s="109">
        <v>43680</v>
      </c>
      <c r="I32" s="109">
        <v>43680</v>
      </c>
      <c r="J32" s="109">
        <f t="shared" si="13"/>
        <v>43680</v>
      </c>
      <c r="K32" s="35">
        <f t="shared" si="14"/>
        <v>43680</v>
      </c>
      <c r="L32" s="120">
        <v>1</v>
      </c>
      <c r="M32" s="120">
        <v>1</v>
      </c>
      <c r="N32" s="120">
        <v>2</v>
      </c>
      <c r="O32" s="120">
        <v>2</v>
      </c>
      <c r="P32" s="131">
        <f t="shared" si="1"/>
        <v>0</v>
      </c>
      <c r="Q32" s="132">
        <f t="shared" si="16"/>
        <v>0</v>
      </c>
      <c r="R32" s="132">
        <f t="shared" si="16"/>
        <v>0</v>
      </c>
      <c r="S32" s="132">
        <f t="shared" si="16"/>
        <v>0</v>
      </c>
      <c r="T32" s="132">
        <f t="shared" si="16"/>
        <v>0</v>
      </c>
      <c r="U32" s="132">
        <f t="shared" si="16"/>
        <v>0</v>
      </c>
      <c r="V32" s="133">
        <f t="shared" si="16"/>
        <v>0</v>
      </c>
      <c r="W32" s="131">
        <f t="shared" si="16"/>
        <v>0</v>
      </c>
      <c r="X32" s="134">
        <f t="shared" si="16"/>
        <v>0</v>
      </c>
      <c r="Y32" s="134">
        <f t="shared" si="16"/>
        <v>0</v>
      </c>
      <c r="Z32" s="134">
        <f t="shared" si="16"/>
        <v>0</v>
      </c>
      <c r="AA32" s="134">
        <f t="shared" si="17"/>
        <v>0</v>
      </c>
      <c r="AB32" s="134">
        <f t="shared" si="17"/>
        <v>0</v>
      </c>
      <c r="AC32" s="135">
        <f t="shared" si="17"/>
        <v>0</v>
      </c>
      <c r="AD32" s="131">
        <f t="shared" si="17"/>
        <v>0</v>
      </c>
      <c r="AE32" s="134">
        <f t="shared" si="17"/>
        <v>0</v>
      </c>
      <c r="AF32" s="134">
        <f t="shared" si="17"/>
        <v>0</v>
      </c>
      <c r="AG32" s="134">
        <f t="shared" si="17"/>
        <v>0</v>
      </c>
      <c r="AH32" s="134">
        <f t="shared" si="17"/>
        <v>0</v>
      </c>
      <c r="AI32" s="134">
        <f t="shared" si="17"/>
        <v>0</v>
      </c>
      <c r="AJ32" s="135">
        <f t="shared" si="17"/>
        <v>0</v>
      </c>
      <c r="AK32" s="131">
        <f t="shared" si="18"/>
        <v>0</v>
      </c>
      <c r="AL32" s="134">
        <f t="shared" si="18"/>
        <v>0</v>
      </c>
      <c r="AM32" s="134">
        <f t="shared" si="18"/>
        <v>0</v>
      </c>
      <c r="AN32" s="134">
        <f t="shared" si="18"/>
        <v>0</v>
      </c>
      <c r="AO32" s="134">
        <f t="shared" si="18"/>
        <v>0</v>
      </c>
      <c r="AP32" s="134">
        <f t="shared" si="18"/>
        <v>0</v>
      </c>
      <c r="AQ32" s="135">
        <f t="shared" si="18"/>
        <v>0</v>
      </c>
      <c r="AR32" s="132">
        <f t="shared" si="18"/>
        <v>0</v>
      </c>
      <c r="AS32" s="132">
        <f t="shared" si="18"/>
        <v>0</v>
      </c>
      <c r="AT32" s="132">
        <f t="shared" si="18"/>
        <v>0</v>
      </c>
      <c r="AU32" s="132">
        <f t="shared" si="18"/>
        <v>0</v>
      </c>
      <c r="AV32" s="132">
        <f t="shared" si="18"/>
        <v>0</v>
      </c>
      <c r="AW32" s="132" t="str">
        <f t="shared" si="18"/>
        <v/>
      </c>
      <c r="AX32" s="132">
        <f t="shared" si="18"/>
        <v>0</v>
      </c>
      <c r="AY32" s="40"/>
    </row>
    <row r="33" spans="1:52" s="26" customFormat="1" ht="26" outlineLevel="1" x14ac:dyDescent="0.35">
      <c r="A33" s="13"/>
      <c r="B33" s="13"/>
      <c r="C33" s="13"/>
      <c r="D33" s="69">
        <f t="shared" si="15"/>
        <v>7</v>
      </c>
      <c r="E33" s="70" t="s">
        <v>89</v>
      </c>
      <c r="F33" s="49">
        <v>0</v>
      </c>
      <c r="G33" s="108" t="str">
        <f t="shared" si="12"/>
        <v>YES</v>
      </c>
      <c r="H33" s="109">
        <v>43676</v>
      </c>
      <c r="I33" s="109">
        <v>43676</v>
      </c>
      <c r="J33" s="109">
        <f t="shared" si="13"/>
        <v>43676</v>
      </c>
      <c r="K33" s="35">
        <f t="shared" si="14"/>
        <v>43676</v>
      </c>
      <c r="L33" s="120">
        <v>1</v>
      </c>
      <c r="M33" s="120">
        <v>1</v>
      </c>
      <c r="N33" s="120">
        <v>2</v>
      </c>
      <c r="O33" s="120">
        <v>2</v>
      </c>
      <c r="P33" s="131">
        <f t="shared" si="1"/>
        <v>0</v>
      </c>
      <c r="Q33" s="132">
        <f t="shared" si="16"/>
        <v>0</v>
      </c>
      <c r="R33" s="132">
        <f t="shared" si="16"/>
        <v>0</v>
      </c>
      <c r="S33" s="132">
        <f t="shared" si="16"/>
        <v>0</v>
      </c>
      <c r="T33" s="132">
        <f t="shared" si="16"/>
        <v>0</v>
      </c>
      <c r="U33" s="132">
        <f t="shared" si="16"/>
        <v>0</v>
      </c>
      <c r="V33" s="133">
        <f t="shared" si="16"/>
        <v>0</v>
      </c>
      <c r="W33" s="131">
        <f t="shared" si="16"/>
        <v>0</v>
      </c>
      <c r="X33" s="134">
        <f t="shared" si="16"/>
        <v>0</v>
      </c>
      <c r="Y33" s="134">
        <f t="shared" si="16"/>
        <v>0</v>
      </c>
      <c r="Z33" s="134">
        <f t="shared" si="16"/>
        <v>0</v>
      </c>
      <c r="AA33" s="134">
        <f t="shared" si="17"/>
        <v>0</v>
      </c>
      <c r="AB33" s="134">
        <f t="shared" si="17"/>
        <v>0</v>
      </c>
      <c r="AC33" s="135">
        <f t="shared" si="17"/>
        <v>0</v>
      </c>
      <c r="AD33" s="131">
        <f t="shared" si="17"/>
        <v>0</v>
      </c>
      <c r="AE33" s="134">
        <f t="shared" si="17"/>
        <v>0</v>
      </c>
      <c r="AF33" s="134">
        <f t="shared" si="17"/>
        <v>0</v>
      </c>
      <c r="AG33" s="134">
        <f t="shared" si="17"/>
        <v>0</v>
      </c>
      <c r="AH33" s="134">
        <f t="shared" si="17"/>
        <v>0</v>
      </c>
      <c r="AI33" s="134">
        <f t="shared" si="17"/>
        <v>0</v>
      </c>
      <c r="AJ33" s="135">
        <f t="shared" si="17"/>
        <v>0</v>
      </c>
      <c r="AK33" s="131">
        <f t="shared" si="18"/>
        <v>0</v>
      </c>
      <c r="AL33" s="134">
        <f t="shared" si="18"/>
        <v>0</v>
      </c>
      <c r="AM33" s="134">
        <f t="shared" si="18"/>
        <v>0</v>
      </c>
      <c r="AN33" s="134">
        <f t="shared" si="18"/>
        <v>0</v>
      </c>
      <c r="AO33" s="134">
        <f t="shared" si="18"/>
        <v>0</v>
      </c>
      <c r="AP33" s="134">
        <f t="shared" si="18"/>
        <v>0</v>
      </c>
      <c r="AQ33" s="135">
        <f t="shared" si="18"/>
        <v>0</v>
      </c>
      <c r="AR33" s="132">
        <f t="shared" si="18"/>
        <v>0</v>
      </c>
      <c r="AS33" s="132" t="str">
        <f t="shared" si="18"/>
        <v/>
      </c>
      <c r="AT33" s="132">
        <f t="shared" si="18"/>
        <v>0</v>
      </c>
      <c r="AU33" s="132">
        <f t="shared" si="18"/>
        <v>0</v>
      </c>
      <c r="AV33" s="132">
        <f t="shared" si="18"/>
        <v>0</v>
      </c>
      <c r="AW33" s="132">
        <f t="shared" si="18"/>
        <v>0</v>
      </c>
      <c r="AX33" s="132">
        <f t="shared" si="18"/>
        <v>0</v>
      </c>
      <c r="AY33" s="40"/>
    </row>
    <row r="34" spans="1:52" s="26" customFormat="1" ht="26" outlineLevel="1" x14ac:dyDescent="0.35">
      <c r="A34" s="13"/>
      <c r="B34" s="13"/>
      <c r="C34" s="13"/>
      <c r="D34" s="69">
        <f t="shared" si="15"/>
        <v>8</v>
      </c>
      <c r="E34" s="70" t="s">
        <v>90</v>
      </c>
      <c r="F34" s="49">
        <v>0</v>
      </c>
      <c r="G34" s="108" t="str">
        <f t="shared" si="12"/>
        <v>YES</v>
      </c>
      <c r="H34" s="109">
        <v>43676</v>
      </c>
      <c r="I34" s="109">
        <v>43676</v>
      </c>
      <c r="J34" s="109">
        <f t="shared" si="13"/>
        <v>43676</v>
      </c>
      <c r="K34" s="35">
        <f t="shared" si="14"/>
        <v>43676</v>
      </c>
      <c r="L34" s="120">
        <v>1</v>
      </c>
      <c r="M34" s="120">
        <v>1</v>
      </c>
      <c r="N34" s="120">
        <v>4</v>
      </c>
      <c r="O34" s="120">
        <v>4</v>
      </c>
      <c r="P34" s="131">
        <f t="shared" ref="P34:Y37" si="19">+IF(AND(P$16&gt;=$I34,P$16&lt;=$K34),"",0)</f>
        <v>0</v>
      </c>
      <c r="Q34" s="132">
        <f t="shared" si="19"/>
        <v>0</v>
      </c>
      <c r="R34" s="132">
        <f t="shared" si="19"/>
        <v>0</v>
      </c>
      <c r="S34" s="132">
        <f t="shared" si="19"/>
        <v>0</v>
      </c>
      <c r="T34" s="132">
        <f t="shared" si="19"/>
        <v>0</v>
      </c>
      <c r="U34" s="132">
        <f t="shared" si="19"/>
        <v>0</v>
      </c>
      <c r="V34" s="133">
        <f t="shared" si="19"/>
        <v>0</v>
      </c>
      <c r="W34" s="131">
        <f t="shared" si="19"/>
        <v>0</v>
      </c>
      <c r="X34" s="134">
        <f t="shared" si="19"/>
        <v>0</v>
      </c>
      <c r="Y34" s="134">
        <f t="shared" si="19"/>
        <v>0</v>
      </c>
      <c r="Z34" s="134">
        <f t="shared" ref="Z34:AI37" si="20">+IF(AND(Z$16&gt;=$I34,Z$16&lt;=$K34),"",0)</f>
        <v>0</v>
      </c>
      <c r="AA34" s="134">
        <f t="shared" si="20"/>
        <v>0</v>
      </c>
      <c r="AB34" s="134">
        <f t="shared" si="20"/>
        <v>0</v>
      </c>
      <c r="AC34" s="135">
        <f t="shared" si="20"/>
        <v>0</v>
      </c>
      <c r="AD34" s="131">
        <f t="shared" si="20"/>
        <v>0</v>
      </c>
      <c r="AE34" s="134">
        <f t="shared" si="20"/>
        <v>0</v>
      </c>
      <c r="AF34" s="134">
        <f t="shared" si="20"/>
        <v>0</v>
      </c>
      <c r="AG34" s="134">
        <f t="shared" si="20"/>
        <v>0</v>
      </c>
      <c r="AH34" s="134">
        <f t="shared" si="20"/>
        <v>0</v>
      </c>
      <c r="AI34" s="134">
        <f t="shared" si="20"/>
        <v>0</v>
      </c>
      <c r="AJ34" s="135">
        <f t="shared" ref="AJ34:AX37" si="21">+IF(AND(AJ$16&gt;=$I34,AJ$16&lt;=$K34),"",0)</f>
        <v>0</v>
      </c>
      <c r="AK34" s="131">
        <f t="shared" si="21"/>
        <v>0</v>
      </c>
      <c r="AL34" s="134">
        <f t="shared" si="21"/>
        <v>0</v>
      </c>
      <c r="AM34" s="134">
        <f t="shared" si="21"/>
        <v>0</v>
      </c>
      <c r="AN34" s="134">
        <f t="shared" si="21"/>
        <v>0</v>
      </c>
      <c r="AO34" s="134">
        <f t="shared" si="21"/>
        <v>0</v>
      </c>
      <c r="AP34" s="134">
        <f t="shared" si="21"/>
        <v>0</v>
      </c>
      <c r="AQ34" s="135">
        <f t="shared" si="21"/>
        <v>0</v>
      </c>
      <c r="AR34" s="132">
        <f t="shared" si="21"/>
        <v>0</v>
      </c>
      <c r="AS34" s="132" t="str">
        <f t="shared" si="21"/>
        <v/>
      </c>
      <c r="AT34" s="132">
        <f t="shared" si="21"/>
        <v>0</v>
      </c>
      <c r="AU34" s="132">
        <f t="shared" si="21"/>
        <v>0</v>
      </c>
      <c r="AV34" s="132">
        <f t="shared" si="21"/>
        <v>0</v>
      </c>
      <c r="AW34" s="132">
        <f t="shared" si="21"/>
        <v>0</v>
      </c>
      <c r="AX34" s="132">
        <f t="shared" si="21"/>
        <v>0</v>
      </c>
      <c r="AY34" s="40"/>
    </row>
    <row r="35" spans="1:52" s="26" customFormat="1" ht="26" outlineLevel="1" x14ac:dyDescent="0.35">
      <c r="A35" s="13"/>
      <c r="B35" s="13"/>
      <c r="C35" s="13"/>
      <c r="D35" s="69">
        <f t="shared" si="15"/>
        <v>9</v>
      </c>
      <c r="E35" s="70" t="s">
        <v>91</v>
      </c>
      <c r="F35" s="49">
        <v>0</v>
      </c>
      <c r="G35" s="108" t="str">
        <f t="shared" si="12"/>
        <v>YES</v>
      </c>
      <c r="H35" s="109">
        <v>43676</v>
      </c>
      <c r="I35" s="109">
        <v>43676</v>
      </c>
      <c r="J35" s="109">
        <f t="shared" si="13"/>
        <v>43676</v>
      </c>
      <c r="K35" s="35">
        <f t="shared" si="14"/>
        <v>43676</v>
      </c>
      <c r="L35" s="120">
        <v>1</v>
      </c>
      <c r="M35" s="120">
        <v>1</v>
      </c>
      <c r="N35" s="120">
        <v>2</v>
      </c>
      <c r="O35" s="120">
        <v>2</v>
      </c>
      <c r="P35" s="131">
        <f t="shared" si="19"/>
        <v>0</v>
      </c>
      <c r="Q35" s="132">
        <f t="shared" si="19"/>
        <v>0</v>
      </c>
      <c r="R35" s="132">
        <f t="shared" si="19"/>
        <v>0</v>
      </c>
      <c r="S35" s="132">
        <f t="shared" si="19"/>
        <v>0</v>
      </c>
      <c r="T35" s="132">
        <f t="shared" si="19"/>
        <v>0</v>
      </c>
      <c r="U35" s="132">
        <f t="shared" si="19"/>
        <v>0</v>
      </c>
      <c r="V35" s="133">
        <f t="shared" si="19"/>
        <v>0</v>
      </c>
      <c r="W35" s="131">
        <f t="shared" si="19"/>
        <v>0</v>
      </c>
      <c r="X35" s="134">
        <f t="shared" si="19"/>
        <v>0</v>
      </c>
      <c r="Y35" s="134">
        <f t="shared" si="19"/>
        <v>0</v>
      </c>
      <c r="Z35" s="134">
        <f t="shared" si="20"/>
        <v>0</v>
      </c>
      <c r="AA35" s="134">
        <f t="shared" si="20"/>
        <v>0</v>
      </c>
      <c r="AB35" s="134">
        <f t="shared" si="20"/>
        <v>0</v>
      </c>
      <c r="AC35" s="135">
        <f t="shared" si="20"/>
        <v>0</v>
      </c>
      <c r="AD35" s="131">
        <f t="shared" si="20"/>
        <v>0</v>
      </c>
      <c r="AE35" s="134">
        <f t="shared" si="20"/>
        <v>0</v>
      </c>
      <c r="AF35" s="134">
        <f t="shared" si="20"/>
        <v>0</v>
      </c>
      <c r="AG35" s="134">
        <f t="shared" si="20"/>
        <v>0</v>
      </c>
      <c r="AH35" s="134">
        <f t="shared" si="20"/>
        <v>0</v>
      </c>
      <c r="AI35" s="134">
        <f t="shared" si="20"/>
        <v>0</v>
      </c>
      <c r="AJ35" s="135">
        <f t="shared" si="21"/>
        <v>0</v>
      </c>
      <c r="AK35" s="131">
        <f t="shared" si="21"/>
        <v>0</v>
      </c>
      <c r="AL35" s="134">
        <f t="shared" si="21"/>
        <v>0</v>
      </c>
      <c r="AM35" s="134">
        <f t="shared" si="21"/>
        <v>0</v>
      </c>
      <c r="AN35" s="134">
        <f t="shared" si="21"/>
        <v>0</v>
      </c>
      <c r="AO35" s="134">
        <f t="shared" si="21"/>
        <v>0</v>
      </c>
      <c r="AP35" s="134">
        <f t="shared" si="21"/>
        <v>0</v>
      </c>
      <c r="AQ35" s="135">
        <f t="shared" si="21"/>
        <v>0</v>
      </c>
      <c r="AR35" s="132">
        <f t="shared" si="21"/>
        <v>0</v>
      </c>
      <c r="AS35" s="132" t="str">
        <f t="shared" si="21"/>
        <v/>
      </c>
      <c r="AT35" s="132">
        <f t="shared" si="21"/>
        <v>0</v>
      </c>
      <c r="AU35" s="132">
        <f t="shared" si="21"/>
        <v>0</v>
      </c>
      <c r="AV35" s="132">
        <f t="shared" si="21"/>
        <v>0</v>
      </c>
      <c r="AW35" s="132">
        <f t="shared" si="21"/>
        <v>0</v>
      </c>
      <c r="AX35" s="132">
        <f t="shared" si="21"/>
        <v>0</v>
      </c>
      <c r="AY35" s="40"/>
    </row>
    <row r="36" spans="1:52" s="26" customFormat="1" ht="14.5" outlineLevel="1" x14ac:dyDescent="0.35">
      <c r="A36" s="13"/>
      <c r="B36" s="13"/>
      <c r="C36" s="13"/>
      <c r="D36" s="69">
        <f t="shared" si="15"/>
        <v>10</v>
      </c>
      <c r="E36" s="70" t="s">
        <v>92</v>
      </c>
      <c r="F36" s="49">
        <v>0</v>
      </c>
      <c r="G36" s="108" t="str">
        <f t="shared" si="12"/>
        <v>YES</v>
      </c>
      <c r="H36" s="109">
        <v>43750</v>
      </c>
      <c r="I36" s="109">
        <v>43750</v>
      </c>
      <c r="J36" s="109">
        <f t="shared" si="13"/>
        <v>43750</v>
      </c>
      <c r="K36" s="35">
        <f t="shared" si="14"/>
        <v>43750</v>
      </c>
      <c r="L36" s="120">
        <v>1</v>
      </c>
      <c r="M36" s="120">
        <v>1</v>
      </c>
      <c r="N36" s="120">
        <v>2</v>
      </c>
      <c r="O36" s="120">
        <v>2</v>
      </c>
      <c r="P36" s="131">
        <f t="shared" si="19"/>
        <v>0</v>
      </c>
      <c r="Q36" s="132">
        <f t="shared" si="19"/>
        <v>0</v>
      </c>
      <c r="R36" s="132">
        <f t="shared" si="19"/>
        <v>0</v>
      </c>
      <c r="S36" s="132">
        <f t="shared" si="19"/>
        <v>0</v>
      </c>
      <c r="T36" s="132">
        <f t="shared" si="19"/>
        <v>0</v>
      </c>
      <c r="U36" s="132">
        <f t="shared" si="19"/>
        <v>0</v>
      </c>
      <c r="V36" s="133">
        <f t="shared" si="19"/>
        <v>0</v>
      </c>
      <c r="W36" s="131">
        <f t="shared" si="19"/>
        <v>0</v>
      </c>
      <c r="X36" s="134">
        <f t="shared" si="19"/>
        <v>0</v>
      </c>
      <c r="Y36" s="134">
        <f t="shared" si="19"/>
        <v>0</v>
      </c>
      <c r="Z36" s="134">
        <f t="shared" si="20"/>
        <v>0</v>
      </c>
      <c r="AA36" s="134">
        <f t="shared" si="20"/>
        <v>0</v>
      </c>
      <c r="AB36" s="134">
        <f t="shared" si="20"/>
        <v>0</v>
      </c>
      <c r="AC36" s="135">
        <f t="shared" si="20"/>
        <v>0</v>
      </c>
      <c r="AD36" s="131">
        <f t="shared" si="20"/>
        <v>0</v>
      </c>
      <c r="AE36" s="134">
        <f t="shared" si="20"/>
        <v>0</v>
      </c>
      <c r="AF36" s="134">
        <f t="shared" si="20"/>
        <v>0</v>
      </c>
      <c r="AG36" s="134">
        <f t="shared" si="20"/>
        <v>0</v>
      </c>
      <c r="AH36" s="134">
        <f t="shared" si="20"/>
        <v>0</v>
      </c>
      <c r="AI36" s="134">
        <f t="shared" si="20"/>
        <v>0</v>
      </c>
      <c r="AJ36" s="135">
        <f t="shared" si="21"/>
        <v>0</v>
      </c>
      <c r="AK36" s="131">
        <f t="shared" si="21"/>
        <v>0</v>
      </c>
      <c r="AL36" s="134">
        <f t="shared" si="21"/>
        <v>0</v>
      </c>
      <c r="AM36" s="134">
        <f t="shared" si="21"/>
        <v>0</v>
      </c>
      <c r="AN36" s="134">
        <f t="shared" si="21"/>
        <v>0</v>
      </c>
      <c r="AO36" s="134">
        <f t="shared" si="21"/>
        <v>0</v>
      </c>
      <c r="AP36" s="134">
        <f t="shared" si="21"/>
        <v>0</v>
      </c>
      <c r="AQ36" s="135">
        <f t="shared" si="21"/>
        <v>0</v>
      </c>
      <c r="AR36" s="132">
        <f t="shared" si="21"/>
        <v>0</v>
      </c>
      <c r="AS36" s="132">
        <f t="shared" si="21"/>
        <v>0</v>
      </c>
      <c r="AT36" s="132">
        <f t="shared" si="21"/>
        <v>0</v>
      </c>
      <c r="AU36" s="132">
        <f t="shared" si="21"/>
        <v>0</v>
      </c>
      <c r="AV36" s="132">
        <f t="shared" si="21"/>
        <v>0</v>
      </c>
      <c r="AW36" s="132">
        <f t="shared" si="21"/>
        <v>0</v>
      </c>
      <c r="AX36" s="132">
        <f t="shared" si="21"/>
        <v>0</v>
      </c>
      <c r="AY36" s="40"/>
    </row>
    <row r="37" spans="1:52" s="26" customFormat="1" ht="15" outlineLevel="1" thickBot="1" x14ac:dyDescent="0.4">
      <c r="A37" s="13"/>
      <c r="B37" s="13"/>
      <c r="C37" s="13"/>
      <c r="D37" s="71">
        <f t="shared" si="15"/>
        <v>11</v>
      </c>
      <c r="E37" s="72" t="s">
        <v>55</v>
      </c>
      <c r="F37" s="50">
        <v>0</v>
      </c>
      <c r="G37" s="112" t="str">
        <f t="shared" si="12"/>
        <v>YES</v>
      </c>
      <c r="H37" s="113">
        <v>43752</v>
      </c>
      <c r="I37" s="113">
        <v>43752</v>
      </c>
      <c r="J37" s="113">
        <f t="shared" si="13"/>
        <v>43752</v>
      </c>
      <c r="K37" s="44">
        <f t="shared" si="14"/>
        <v>43752</v>
      </c>
      <c r="L37" s="151">
        <v>1</v>
      </c>
      <c r="M37" s="151">
        <v>1</v>
      </c>
      <c r="N37" s="151">
        <v>2</v>
      </c>
      <c r="O37" s="151">
        <v>2</v>
      </c>
      <c r="P37" s="131">
        <f t="shared" si="19"/>
        <v>0</v>
      </c>
      <c r="Q37" s="132">
        <f t="shared" si="19"/>
        <v>0</v>
      </c>
      <c r="R37" s="132">
        <f t="shared" si="19"/>
        <v>0</v>
      </c>
      <c r="S37" s="132">
        <f t="shared" si="19"/>
        <v>0</v>
      </c>
      <c r="T37" s="132">
        <f t="shared" si="19"/>
        <v>0</v>
      </c>
      <c r="U37" s="132">
        <f t="shared" si="19"/>
        <v>0</v>
      </c>
      <c r="V37" s="133">
        <f t="shared" si="19"/>
        <v>0</v>
      </c>
      <c r="W37" s="131">
        <f t="shared" si="19"/>
        <v>0</v>
      </c>
      <c r="X37" s="134">
        <f t="shared" si="19"/>
        <v>0</v>
      </c>
      <c r="Y37" s="134">
        <f t="shared" si="19"/>
        <v>0</v>
      </c>
      <c r="Z37" s="134">
        <f t="shared" si="20"/>
        <v>0</v>
      </c>
      <c r="AA37" s="134">
        <f t="shared" si="20"/>
        <v>0</v>
      </c>
      <c r="AB37" s="134">
        <f t="shared" si="20"/>
        <v>0</v>
      </c>
      <c r="AC37" s="135">
        <f t="shared" si="20"/>
        <v>0</v>
      </c>
      <c r="AD37" s="131">
        <f t="shared" si="20"/>
        <v>0</v>
      </c>
      <c r="AE37" s="134">
        <f t="shared" si="20"/>
        <v>0</v>
      </c>
      <c r="AF37" s="134">
        <f t="shared" si="20"/>
        <v>0</v>
      </c>
      <c r="AG37" s="134">
        <f t="shared" si="20"/>
        <v>0</v>
      </c>
      <c r="AH37" s="134">
        <f t="shared" si="20"/>
        <v>0</v>
      </c>
      <c r="AI37" s="134">
        <f t="shared" si="20"/>
        <v>0</v>
      </c>
      <c r="AJ37" s="135">
        <f t="shared" si="21"/>
        <v>0</v>
      </c>
      <c r="AK37" s="131">
        <f t="shared" si="21"/>
        <v>0</v>
      </c>
      <c r="AL37" s="134">
        <f t="shared" si="21"/>
        <v>0</v>
      </c>
      <c r="AM37" s="134">
        <f t="shared" si="21"/>
        <v>0</v>
      </c>
      <c r="AN37" s="134">
        <f t="shared" si="21"/>
        <v>0</v>
      </c>
      <c r="AO37" s="134">
        <f t="shared" si="21"/>
        <v>0</v>
      </c>
      <c r="AP37" s="134">
        <f t="shared" si="21"/>
        <v>0</v>
      </c>
      <c r="AQ37" s="135">
        <f t="shared" si="21"/>
        <v>0</v>
      </c>
      <c r="AR37" s="132">
        <f t="shared" si="21"/>
        <v>0</v>
      </c>
      <c r="AS37" s="132">
        <f t="shared" si="21"/>
        <v>0</v>
      </c>
      <c r="AT37" s="132">
        <f t="shared" si="21"/>
        <v>0</v>
      </c>
      <c r="AU37" s="132">
        <f t="shared" si="21"/>
        <v>0</v>
      </c>
      <c r="AV37" s="132">
        <f t="shared" si="21"/>
        <v>0</v>
      </c>
      <c r="AW37" s="132">
        <f t="shared" si="21"/>
        <v>0</v>
      </c>
      <c r="AX37" s="132">
        <f t="shared" si="21"/>
        <v>0</v>
      </c>
      <c r="AY37" s="40"/>
    </row>
    <row r="38" spans="1:52" ht="14.5" thickTop="1" x14ac:dyDescent="0.35">
      <c r="H38" s="27"/>
      <c r="I38" s="27"/>
      <c r="J38" s="27"/>
      <c r="M38" s="27"/>
      <c r="N38" s="27"/>
      <c r="O38" s="27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</row>
    <row r="39" spans="1:52" x14ac:dyDescent="0.35">
      <c r="H39" s="27"/>
      <c r="I39" s="27"/>
      <c r="J39" s="27"/>
      <c r="M39" s="27"/>
      <c r="N39" s="27"/>
      <c r="O39" s="27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</row>
    <row r="40" spans="1:52" ht="25" x14ac:dyDescent="0.35">
      <c r="H40" s="27"/>
      <c r="I40" s="27"/>
      <c r="J40" s="27"/>
      <c r="M40" s="27"/>
      <c r="N40" s="27"/>
      <c r="O40" s="45" t="s">
        <v>2</v>
      </c>
      <c r="P40" s="142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2" x14ac:dyDescent="0.35">
      <c r="H41" s="27"/>
      <c r="I41" s="27"/>
      <c r="J41" s="27"/>
      <c r="M41" s="27"/>
      <c r="N41" s="27"/>
      <c r="O41" s="27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2" ht="16.5" x14ac:dyDescent="0.35">
      <c r="H42" s="27"/>
      <c r="I42" s="27"/>
      <c r="J42" s="27"/>
      <c r="M42" s="27"/>
      <c r="N42" s="27"/>
      <c r="O42" s="27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</row>
    <row r="43" spans="1:52" ht="16.5" x14ac:dyDescent="0.35">
      <c r="L43" s="6"/>
      <c r="M43" s="5"/>
      <c r="N43" s="5"/>
      <c r="O43" s="5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</row>
    <row r="44" spans="1:52" ht="16.5" hidden="1" customHeight="1" x14ac:dyDescent="0.35">
      <c r="O44" s="51">
        <f>+O45+$O$88</f>
        <v>90</v>
      </c>
      <c r="P44" s="144" t="str">
        <f t="shared" ref="P44:Y45" si="22">+IF(AND($O$88+P$90&gt;$O44,$O$88+P$90&lt;=$O43),P$90,"")</f>
        <v/>
      </c>
      <c r="Q44" s="144" t="str">
        <f t="shared" si="22"/>
        <v/>
      </c>
      <c r="R44" s="144" t="str">
        <f t="shared" si="22"/>
        <v/>
      </c>
      <c r="S44" s="144" t="str">
        <f t="shared" si="22"/>
        <v/>
      </c>
      <c r="T44" s="144" t="str">
        <f t="shared" si="22"/>
        <v/>
      </c>
      <c r="U44" s="144" t="str">
        <f t="shared" si="22"/>
        <v/>
      </c>
      <c r="V44" s="144" t="str">
        <f t="shared" si="22"/>
        <v/>
      </c>
      <c r="W44" s="144" t="str">
        <f t="shared" si="22"/>
        <v/>
      </c>
      <c r="X44" s="144" t="str">
        <f t="shared" si="22"/>
        <v/>
      </c>
      <c r="Y44" s="144" t="str">
        <f t="shared" si="22"/>
        <v/>
      </c>
      <c r="Z44" s="144" t="str">
        <f t="shared" ref="Z44:AI45" si="23">+IF(AND($O$88+Z$90&gt;$O44,$O$88+Z$90&lt;=$O43),Z$90,"")</f>
        <v/>
      </c>
      <c r="AA44" s="144" t="str">
        <f t="shared" si="23"/>
        <v/>
      </c>
      <c r="AB44" s="144" t="str">
        <f t="shared" si="23"/>
        <v/>
      </c>
      <c r="AC44" s="144" t="str">
        <f t="shared" si="23"/>
        <v/>
      </c>
      <c r="AD44" s="144" t="str">
        <f t="shared" si="23"/>
        <v/>
      </c>
      <c r="AE44" s="144" t="str">
        <f t="shared" si="23"/>
        <v/>
      </c>
      <c r="AF44" s="144" t="str">
        <f t="shared" si="23"/>
        <v/>
      </c>
      <c r="AG44" s="144" t="str">
        <f t="shared" si="23"/>
        <v/>
      </c>
      <c r="AH44" s="144" t="str">
        <f t="shared" si="23"/>
        <v/>
      </c>
      <c r="AI44" s="144" t="str">
        <f t="shared" si="23"/>
        <v/>
      </c>
      <c r="AJ44" s="144" t="str">
        <f t="shared" ref="AJ44:AS45" si="24">+IF(AND($O$88+AJ$90&gt;$O44,$O$88+AJ$90&lt;=$O43),AJ$90,"")</f>
        <v/>
      </c>
      <c r="AK44" s="144" t="str">
        <f t="shared" si="24"/>
        <v/>
      </c>
      <c r="AL44" s="144" t="str">
        <f t="shared" si="24"/>
        <v/>
      </c>
      <c r="AM44" s="144" t="str">
        <f t="shared" si="24"/>
        <v/>
      </c>
      <c r="AN44" s="144" t="str">
        <f t="shared" si="24"/>
        <v/>
      </c>
      <c r="AO44" s="144" t="str">
        <f t="shared" si="24"/>
        <v/>
      </c>
      <c r="AP44" s="144" t="str">
        <f t="shared" si="24"/>
        <v/>
      </c>
      <c r="AQ44" s="144" t="str">
        <f t="shared" si="24"/>
        <v/>
      </c>
      <c r="AR44" s="144" t="str">
        <f t="shared" si="24"/>
        <v/>
      </c>
      <c r="AS44" s="144" t="str">
        <f t="shared" si="24"/>
        <v/>
      </c>
      <c r="AT44" s="144" t="str">
        <f t="shared" ref="AT44:AX45" si="25">+IF(AND($O$88+AT$90&gt;$O44,$O$88+AT$90&lt;=$O43),AT$90,"")</f>
        <v/>
      </c>
      <c r="AU44" s="144" t="str">
        <f t="shared" si="25"/>
        <v/>
      </c>
      <c r="AV44" s="144" t="str">
        <f t="shared" si="25"/>
        <v/>
      </c>
      <c r="AW44" s="144" t="str">
        <f t="shared" si="25"/>
        <v/>
      </c>
      <c r="AX44" s="144" t="str">
        <f t="shared" si="25"/>
        <v/>
      </c>
      <c r="AY44" s="10"/>
      <c r="AZ44" s="10"/>
    </row>
    <row r="45" spans="1:52" ht="16.5" hidden="1" customHeight="1" x14ac:dyDescent="0.35">
      <c r="L45" s="6"/>
      <c r="M45" s="5"/>
      <c r="N45" s="5"/>
      <c r="O45" s="51">
        <f>+O46+$O$88</f>
        <v>88</v>
      </c>
      <c r="P45" s="144" t="str">
        <f t="shared" si="22"/>
        <v/>
      </c>
      <c r="Q45" s="144" t="str">
        <f t="shared" si="22"/>
        <v/>
      </c>
      <c r="R45" s="144" t="str">
        <f t="shared" si="22"/>
        <v/>
      </c>
      <c r="S45" s="144" t="str">
        <f t="shared" si="22"/>
        <v/>
      </c>
      <c r="T45" s="144" t="str">
        <f t="shared" si="22"/>
        <v/>
      </c>
      <c r="U45" s="144" t="str">
        <f t="shared" si="22"/>
        <v/>
      </c>
      <c r="V45" s="144" t="str">
        <f t="shared" si="22"/>
        <v/>
      </c>
      <c r="W45" s="144" t="str">
        <f t="shared" si="22"/>
        <v/>
      </c>
      <c r="X45" s="144" t="str">
        <f t="shared" si="22"/>
        <v/>
      </c>
      <c r="Y45" s="144" t="str">
        <f t="shared" si="22"/>
        <v/>
      </c>
      <c r="Z45" s="145" t="str">
        <f t="shared" si="23"/>
        <v/>
      </c>
      <c r="AA45" s="144" t="str">
        <f t="shared" si="23"/>
        <v/>
      </c>
      <c r="AB45" s="145" t="str">
        <f t="shared" si="23"/>
        <v/>
      </c>
      <c r="AC45" s="144" t="str">
        <f t="shared" si="23"/>
        <v/>
      </c>
      <c r="AD45" s="144" t="str">
        <f t="shared" si="23"/>
        <v/>
      </c>
      <c r="AE45" s="144" t="str">
        <f t="shared" si="23"/>
        <v/>
      </c>
      <c r="AF45" s="144" t="str">
        <f t="shared" si="23"/>
        <v/>
      </c>
      <c r="AG45" s="144" t="str">
        <f t="shared" si="23"/>
        <v/>
      </c>
      <c r="AH45" s="144" t="str">
        <f t="shared" si="23"/>
        <v/>
      </c>
      <c r="AI45" s="144" t="str">
        <f t="shared" si="23"/>
        <v/>
      </c>
      <c r="AJ45" s="144" t="str">
        <f t="shared" si="24"/>
        <v/>
      </c>
      <c r="AK45" s="144" t="str">
        <f t="shared" si="24"/>
        <v/>
      </c>
      <c r="AL45" s="144" t="str">
        <f t="shared" si="24"/>
        <v/>
      </c>
      <c r="AM45" s="144" t="str">
        <f t="shared" si="24"/>
        <v/>
      </c>
      <c r="AN45" s="144" t="str">
        <f t="shared" si="24"/>
        <v/>
      </c>
      <c r="AO45" s="144" t="str">
        <f t="shared" si="24"/>
        <v/>
      </c>
      <c r="AP45" s="144" t="str">
        <f t="shared" si="24"/>
        <v/>
      </c>
      <c r="AQ45" s="144" t="str">
        <f t="shared" si="24"/>
        <v/>
      </c>
      <c r="AR45" s="144" t="str">
        <f t="shared" si="24"/>
        <v/>
      </c>
      <c r="AS45" s="144" t="str">
        <f t="shared" si="24"/>
        <v/>
      </c>
      <c r="AT45" s="144" t="str">
        <f t="shared" si="25"/>
        <v/>
      </c>
      <c r="AU45" s="144" t="str">
        <f t="shared" si="25"/>
        <v/>
      </c>
      <c r="AV45" s="144" t="str">
        <f t="shared" si="25"/>
        <v/>
      </c>
      <c r="AW45" s="144" t="str">
        <f t="shared" si="25"/>
        <v/>
      </c>
      <c r="AX45" s="144" t="str">
        <f t="shared" si="25"/>
        <v/>
      </c>
      <c r="AY45" s="10"/>
      <c r="AZ45" s="10"/>
    </row>
    <row r="46" spans="1:52" ht="16.5" hidden="1" customHeight="1" x14ac:dyDescent="0.35">
      <c r="L46" s="6"/>
      <c r="M46" s="5"/>
      <c r="N46" s="5"/>
      <c r="O46" s="51">
        <f>+O47+$O$88</f>
        <v>86</v>
      </c>
      <c r="P46" s="144"/>
      <c r="Q46" s="144" t="str">
        <f t="shared" ref="Q46:Q88" si="26">+IF(AND($O$88+Q$90&gt;$O46,$O$88+Q$90&lt;=$O45),Q$90,"")</f>
        <v/>
      </c>
      <c r="R46" s="144" t="str">
        <f t="shared" ref="R46:R88" si="27">+IF(AND($O$88+R$90&gt;$O46,$O$88+R$90&lt;=$O45),R$90,"")</f>
        <v/>
      </c>
      <c r="S46" s="144" t="str">
        <f t="shared" ref="S46:S88" si="28">+IF(AND($O$88+S$90&gt;$O46,$O$88+S$90&lt;=$O45),S$90,"")</f>
        <v/>
      </c>
      <c r="T46" s="144" t="str">
        <f t="shared" ref="T46:T88" si="29">+IF(AND($O$88+T$90&gt;$O46,$O$88+T$90&lt;=$O45),T$90,"")</f>
        <v/>
      </c>
      <c r="U46" s="144" t="str">
        <f t="shared" ref="U46:U88" si="30">+IF(AND($O$88+U$90&gt;$O46,$O$88+U$90&lt;=$O45),U$90,"")</f>
        <v/>
      </c>
      <c r="V46" s="144" t="str">
        <f t="shared" ref="V46:V88" si="31">+IF(AND($O$88+V$90&gt;$O46,$O$88+V$90&lt;=$O45),V$90,"")</f>
        <v/>
      </c>
      <c r="W46" s="144" t="str">
        <f t="shared" ref="W46:W88" si="32">+IF(AND($O$88+W$90&gt;$O46,$O$88+W$90&lt;=$O45),W$90,"")</f>
        <v/>
      </c>
      <c r="X46" s="144" t="str">
        <f t="shared" ref="X46:X88" si="33">+IF(AND($O$88+X$90&gt;$O46,$O$88+X$90&lt;=$O45),X$90,"")</f>
        <v/>
      </c>
      <c r="Y46" s="144" t="str">
        <f t="shared" ref="Y46:Y88" si="34">+IF(AND($O$88+Y$90&gt;$O46,$O$88+Y$90&lt;=$O45),Y$90,"")</f>
        <v/>
      </c>
      <c r="Z46" s="144" t="str">
        <f t="shared" ref="Z46:Z88" si="35">+IF(AND($O$88+Z$90&gt;$O46,$O$88+Z$90&lt;=$O45),Z$90,"")</f>
        <v/>
      </c>
      <c r="AA46" s="144" t="str">
        <f t="shared" ref="AA46:AA88" si="36">+IF(AND($O$88+AA$90&gt;$O46,$O$88+AA$90&lt;=$O45),AA$90,"")</f>
        <v/>
      </c>
      <c r="AB46" s="144" t="str">
        <f t="shared" ref="AB46:AB88" si="37">+IF(AND($O$88+AB$90&gt;$O46,$O$88+AB$90&lt;=$O45),AB$90,"")</f>
        <v/>
      </c>
      <c r="AC46" s="144" t="str">
        <f t="shared" ref="AC46:AC88" si="38">+IF(AND($O$88+AC$90&gt;$O46,$O$88+AC$90&lt;=$O45),AC$90,"")</f>
        <v/>
      </c>
      <c r="AD46" s="144" t="str">
        <f t="shared" ref="AD46:AD88" si="39">+IF(AND($O$88+AD$90&gt;$O46,$O$88+AD$90&lt;=$O45),AD$90,"")</f>
        <v/>
      </c>
      <c r="AE46" s="144" t="str">
        <f t="shared" ref="AE46:AE88" si="40">+IF(AND($O$88+AE$90&gt;$O46,$O$88+AE$90&lt;=$O45),AE$90,"")</f>
        <v/>
      </c>
      <c r="AF46" s="144" t="str">
        <f t="shared" ref="AF46:AF88" si="41">+IF(AND($O$88+AF$90&gt;$O46,$O$88+AF$90&lt;=$O45),AF$90,"")</f>
        <v/>
      </c>
      <c r="AG46" s="144" t="str">
        <f t="shared" ref="AG46:AG88" si="42">+IF(AND($O$88+AG$90&gt;$O46,$O$88+AG$90&lt;=$O45),AG$90,"")</f>
        <v/>
      </c>
      <c r="AH46" s="144" t="str">
        <f t="shared" ref="AH46:AH88" si="43">+IF(AND($O$88+AH$90&gt;$O46,$O$88+AH$90&lt;=$O45),AH$90,"")</f>
        <v/>
      </c>
      <c r="AI46" s="144" t="str">
        <f t="shared" ref="AI46:AI88" si="44">+IF(AND($O$88+AI$90&gt;$O46,$O$88+AI$90&lt;=$O45),AI$90,"")</f>
        <v/>
      </c>
      <c r="AJ46" s="144" t="str">
        <f t="shared" ref="AJ46:AJ88" si="45">+IF(AND($O$88+AJ$90&gt;$O46,$O$88+AJ$90&lt;=$O45),AJ$90,"")</f>
        <v/>
      </c>
      <c r="AK46" s="144" t="str">
        <f t="shared" ref="AK46:AK88" si="46">+IF(AND($O$88+AK$90&gt;$O46,$O$88+AK$90&lt;=$O45),AK$90,"")</f>
        <v/>
      </c>
      <c r="AL46" s="144" t="str">
        <f t="shared" ref="AL46:AL88" si="47">+IF(AND($O$88+AL$90&gt;$O46,$O$88+AL$90&lt;=$O45),AL$90,"")</f>
        <v/>
      </c>
      <c r="AM46" s="144" t="str">
        <f t="shared" ref="AM46:AM88" si="48">+IF(AND($O$88+AM$90&gt;$O46,$O$88+AM$90&lt;=$O45),AM$90,"")</f>
        <v/>
      </c>
      <c r="AN46" s="144" t="str">
        <f t="shared" ref="AN46:AN88" si="49">+IF(AND($O$88+AN$90&gt;$O46,$O$88+AN$90&lt;=$O45),AN$90,"")</f>
        <v/>
      </c>
      <c r="AO46" s="144" t="str">
        <f t="shared" ref="AO46:AO88" si="50">+IF(AND($O$88+AO$90&gt;$O46,$O$88+AO$90&lt;=$O45),AO$90,"")</f>
        <v/>
      </c>
      <c r="AP46" s="144" t="str">
        <f t="shared" ref="AP46:AP88" si="51">+IF(AND($O$88+AP$90&gt;$O46,$O$88+AP$90&lt;=$O45),AP$90,"")</f>
        <v/>
      </c>
      <c r="AQ46" s="144" t="str">
        <f t="shared" ref="AQ46:AQ88" si="52">+IF(AND($O$88+AQ$90&gt;$O46,$O$88+AQ$90&lt;=$O45),AQ$90,"")</f>
        <v/>
      </c>
      <c r="AR46" s="144" t="str">
        <f t="shared" ref="AR46:AR88" si="53">+IF(AND($O$88+AR$90&gt;$O46,$O$88+AR$90&lt;=$O45),AR$90,"")</f>
        <v/>
      </c>
      <c r="AS46" s="144" t="str">
        <f t="shared" ref="AS46:AS88" si="54">+IF(AND($O$88+AS$90&gt;$O46,$O$88+AS$90&lt;=$O45),AS$90,"")</f>
        <v/>
      </c>
      <c r="AT46" s="144" t="str">
        <f t="shared" ref="AT46:AT88" si="55">+IF(AND($O$88+AT$90&gt;$O46,$O$88+AT$90&lt;=$O45),AT$90,"")</f>
        <v/>
      </c>
      <c r="AU46" s="144" t="str">
        <f t="shared" ref="AU46:AU88" si="56">+IF(AND($O$88+AU$90&gt;$O46,$O$88+AU$90&lt;=$O45),AU$90,"")</f>
        <v/>
      </c>
      <c r="AV46" s="144" t="str">
        <f t="shared" ref="AV46:AV88" si="57">+IF(AND($O$88+AV$90&gt;$O46,$O$88+AV$90&lt;=$O45),AV$90,"")</f>
        <v/>
      </c>
      <c r="AW46" s="144" t="str">
        <f t="shared" ref="AW46:AW88" si="58">+IF(AND($O$88+AW$90&gt;$O46,$O$88+AW$90&lt;=$O45),AW$90,"")</f>
        <v/>
      </c>
      <c r="AX46" s="144" t="str">
        <f t="shared" ref="AX46:AX88" si="59">+IF(AND($O$88+AX$90&gt;$O46,$O$88+AX$90&lt;=$O45),AX$90,"")</f>
        <v/>
      </c>
      <c r="AY46" s="10"/>
      <c r="AZ46" s="10"/>
    </row>
    <row r="47" spans="1:52" ht="16.5" hidden="1" customHeight="1" x14ac:dyDescent="0.35">
      <c r="L47" s="6"/>
      <c r="M47" s="5"/>
      <c r="N47" s="5"/>
      <c r="O47" s="51">
        <f>+O48+$O$88</f>
        <v>84</v>
      </c>
      <c r="P47" s="144"/>
      <c r="Q47" s="144" t="str">
        <f t="shared" si="26"/>
        <v/>
      </c>
      <c r="R47" s="144" t="str">
        <f t="shared" si="27"/>
        <v/>
      </c>
      <c r="S47" s="144" t="str">
        <f t="shared" si="28"/>
        <v/>
      </c>
      <c r="T47" s="144" t="str">
        <f t="shared" si="29"/>
        <v/>
      </c>
      <c r="U47" s="144" t="str">
        <f t="shared" si="30"/>
        <v/>
      </c>
      <c r="V47" s="144" t="str">
        <f t="shared" si="31"/>
        <v/>
      </c>
      <c r="W47" s="144" t="str">
        <f t="shared" si="32"/>
        <v/>
      </c>
      <c r="X47" s="144" t="str">
        <f t="shared" si="33"/>
        <v/>
      </c>
      <c r="Y47" s="144" t="str">
        <f t="shared" si="34"/>
        <v/>
      </c>
      <c r="Z47" s="144" t="str">
        <f t="shared" si="35"/>
        <v/>
      </c>
      <c r="AA47" s="144" t="str">
        <f t="shared" si="36"/>
        <v/>
      </c>
      <c r="AB47" s="144" t="str">
        <f t="shared" si="37"/>
        <v/>
      </c>
      <c r="AC47" s="144" t="str">
        <f t="shared" si="38"/>
        <v/>
      </c>
      <c r="AD47" s="144" t="str">
        <f t="shared" si="39"/>
        <v/>
      </c>
      <c r="AE47" s="144" t="str">
        <f t="shared" si="40"/>
        <v/>
      </c>
      <c r="AF47" s="144" t="str">
        <f t="shared" si="41"/>
        <v/>
      </c>
      <c r="AG47" s="144" t="str">
        <f t="shared" si="42"/>
        <v/>
      </c>
      <c r="AH47" s="144" t="str">
        <f t="shared" si="43"/>
        <v/>
      </c>
      <c r="AI47" s="144" t="str">
        <f t="shared" si="44"/>
        <v/>
      </c>
      <c r="AJ47" s="144" t="str">
        <f t="shared" si="45"/>
        <v/>
      </c>
      <c r="AK47" s="144" t="str">
        <f t="shared" si="46"/>
        <v/>
      </c>
      <c r="AL47" s="144" t="str">
        <f t="shared" si="47"/>
        <v/>
      </c>
      <c r="AM47" s="144" t="str">
        <f t="shared" si="48"/>
        <v/>
      </c>
      <c r="AN47" s="144" t="str">
        <f t="shared" si="49"/>
        <v/>
      </c>
      <c r="AO47" s="144" t="str">
        <f t="shared" si="50"/>
        <v/>
      </c>
      <c r="AP47" s="144" t="str">
        <f t="shared" si="51"/>
        <v/>
      </c>
      <c r="AQ47" s="144" t="str">
        <f t="shared" si="52"/>
        <v/>
      </c>
      <c r="AR47" s="144" t="str">
        <f t="shared" si="53"/>
        <v/>
      </c>
      <c r="AS47" s="144" t="str">
        <f t="shared" si="54"/>
        <v/>
      </c>
      <c r="AT47" s="144" t="str">
        <f t="shared" si="55"/>
        <v/>
      </c>
      <c r="AU47" s="144" t="str">
        <f t="shared" si="56"/>
        <v/>
      </c>
      <c r="AV47" s="144" t="str">
        <f t="shared" si="57"/>
        <v/>
      </c>
      <c r="AW47" s="144" t="str">
        <f t="shared" si="58"/>
        <v/>
      </c>
      <c r="AX47" s="144" t="str">
        <f t="shared" si="59"/>
        <v/>
      </c>
      <c r="AY47" s="10"/>
      <c r="AZ47" s="10"/>
    </row>
    <row r="48" spans="1:52" ht="16.5" hidden="1" customHeight="1" x14ac:dyDescent="0.35">
      <c r="L48" s="6"/>
      <c r="M48" s="5"/>
      <c r="N48" s="5"/>
      <c r="O48" s="51">
        <f t="shared" ref="O48:O52" si="60">+O49+$O$88</f>
        <v>82</v>
      </c>
      <c r="P48" s="144"/>
      <c r="Q48" s="144" t="str">
        <f t="shared" si="26"/>
        <v/>
      </c>
      <c r="R48" s="144" t="str">
        <f t="shared" si="27"/>
        <v/>
      </c>
      <c r="S48" s="144" t="str">
        <f t="shared" si="28"/>
        <v/>
      </c>
      <c r="T48" s="144" t="str">
        <f t="shared" si="29"/>
        <v/>
      </c>
      <c r="U48" s="144" t="str">
        <f t="shared" si="30"/>
        <v/>
      </c>
      <c r="V48" s="144" t="str">
        <f t="shared" si="31"/>
        <v/>
      </c>
      <c r="W48" s="144" t="str">
        <f t="shared" si="32"/>
        <v/>
      </c>
      <c r="X48" s="144" t="str">
        <f t="shared" si="33"/>
        <v/>
      </c>
      <c r="Y48" s="144" t="str">
        <f t="shared" si="34"/>
        <v/>
      </c>
      <c r="Z48" s="144" t="str">
        <f t="shared" si="35"/>
        <v/>
      </c>
      <c r="AA48" s="144" t="str">
        <f t="shared" si="36"/>
        <v/>
      </c>
      <c r="AB48" s="144" t="str">
        <f t="shared" si="37"/>
        <v/>
      </c>
      <c r="AC48" s="144" t="str">
        <f t="shared" si="38"/>
        <v/>
      </c>
      <c r="AD48" s="144" t="str">
        <f t="shared" si="39"/>
        <v/>
      </c>
      <c r="AE48" s="144" t="str">
        <f t="shared" si="40"/>
        <v/>
      </c>
      <c r="AF48" s="144" t="str">
        <f t="shared" si="41"/>
        <v/>
      </c>
      <c r="AG48" s="144" t="str">
        <f t="shared" si="42"/>
        <v/>
      </c>
      <c r="AH48" s="144" t="str">
        <f t="shared" si="43"/>
        <v/>
      </c>
      <c r="AI48" s="144" t="str">
        <f t="shared" si="44"/>
        <v/>
      </c>
      <c r="AJ48" s="144" t="str">
        <f t="shared" si="45"/>
        <v/>
      </c>
      <c r="AK48" s="144" t="str">
        <f t="shared" si="46"/>
        <v/>
      </c>
      <c r="AL48" s="144" t="str">
        <f t="shared" si="47"/>
        <v/>
      </c>
      <c r="AM48" s="144" t="str">
        <f t="shared" si="48"/>
        <v/>
      </c>
      <c r="AN48" s="144" t="str">
        <f t="shared" si="49"/>
        <v/>
      </c>
      <c r="AO48" s="144" t="str">
        <f t="shared" si="50"/>
        <v/>
      </c>
      <c r="AP48" s="144" t="str">
        <f t="shared" si="51"/>
        <v/>
      </c>
      <c r="AQ48" s="144" t="str">
        <f t="shared" si="52"/>
        <v/>
      </c>
      <c r="AR48" s="144" t="str">
        <f t="shared" si="53"/>
        <v/>
      </c>
      <c r="AS48" s="144" t="str">
        <f t="shared" si="54"/>
        <v/>
      </c>
      <c r="AT48" s="144" t="str">
        <f t="shared" si="55"/>
        <v/>
      </c>
      <c r="AU48" s="144" t="str">
        <f t="shared" si="56"/>
        <v/>
      </c>
      <c r="AV48" s="144" t="str">
        <f t="shared" si="57"/>
        <v/>
      </c>
      <c r="AW48" s="144" t="str">
        <f t="shared" si="58"/>
        <v/>
      </c>
      <c r="AX48" s="144" t="str">
        <f t="shared" si="59"/>
        <v/>
      </c>
      <c r="AY48" s="10"/>
      <c r="AZ48" s="10"/>
    </row>
    <row r="49" spans="12:52" ht="16.5" hidden="1" customHeight="1" x14ac:dyDescent="0.35">
      <c r="L49" s="6"/>
      <c r="M49" s="5"/>
      <c r="N49" s="5"/>
      <c r="O49" s="51">
        <f t="shared" si="60"/>
        <v>80</v>
      </c>
      <c r="P49" s="144"/>
      <c r="Q49" s="144" t="str">
        <f t="shared" si="26"/>
        <v/>
      </c>
      <c r="R49" s="144" t="str">
        <f t="shared" si="27"/>
        <v/>
      </c>
      <c r="S49" s="144" t="str">
        <f t="shared" si="28"/>
        <v/>
      </c>
      <c r="T49" s="144" t="str">
        <f t="shared" si="29"/>
        <v/>
      </c>
      <c r="U49" s="144" t="str">
        <f t="shared" si="30"/>
        <v/>
      </c>
      <c r="V49" s="144" t="str">
        <f t="shared" si="31"/>
        <v/>
      </c>
      <c r="W49" s="144" t="str">
        <f t="shared" si="32"/>
        <v/>
      </c>
      <c r="X49" s="144" t="str">
        <f t="shared" si="33"/>
        <v/>
      </c>
      <c r="Y49" s="144" t="str">
        <f t="shared" si="34"/>
        <v/>
      </c>
      <c r="Z49" s="144" t="str">
        <f t="shared" si="35"/>
        <v/>
      </c>
      <c r="AA49" s="144" t="str">
        <f t="shared" si="36"/>
        <v/>
      </c>
      <c r="AB49" s="144" t="str">
        <f t="shared" si="37"/>
        <v/>
      </c>
      <c r="AC49" s="144" t="str">
        <f t="shared" si="38"/>
        <v/>
      </c>
      <c r="AD49" s="144" t="str">
        <f t="shared" si="39"/>
        <v/>
      </c>
      <c r="AE49" s="144" t="str">
        <f t="shared" si="40"/>
        <v/>
      </c>
      <c r="AF49" s="144" t="str">
        <f t="shared" si="41"/>
        <v/>
      </c>
      <c r="AG49" s="144" t="str">
        <f t="shared" si="42"/>
        <v/>
      </c>
      <c r="AH49" s="144" t="str">
        <f t="shared" si="43"/>
        <v/>
      </c>
      <c r="AI49" s="144" t="str">
        <f t="shared" si="44"/>
        <v/>
      </c>
      <c r="AJ49" s="144" t="str">
        <f t="shared" si="45"/>
        <v/>
      </c>
      <c r="AK49" s="144" t="str">
        <f t="shared" si="46"/>
        <v/>
      </c>
      <c r="AL49" s="144" t="str">
        <f t="shared" si="47"/>
        <v/>
      </c>
      <c r="AM49" s="144" t="str">
        <f t="shared" si="48"/>
        <v/>
      </c>
      <c r="AN49" s="144" t="str">
        <f t="shared" si="49"/>
        <v/>
      </c>
      <c r="AO49" s="144" t="str">
        <f t="shared" si="50"/>
        <v/>
      </c>
      <c r="AP49" s="144" t="str">
        <f t="shared" si="51"/>
        <v/>
      </c>
      <c r="AQ49" s="144" t="str">
        <f t="shared" si="52"/>
        <v/>
      </c>
      <c r="AR49" s="144" t="str">
        <f t="shared" si="53"/>
        <v/>
      </c>
      <c r="AS49" s="144" t="str">
        <f t="shared" si="54"/>
        <v/>
      </c>
      <c r="AT49" s="144" t="str">
        <f t="shared" si="55"/>
        <v/>
      </c>
      <c r="AU49" s="144" t="str">
        <f t="shared" si="56"/>
        <v/>
      </c>
      <c r="AV49" s="144" t="str">
        <f t="shared" si="57"/>
        <v/>
      </c>
      <c r="AW49" s="144" t="str">
        <f t="shared" si="58"/>
        <v/>
      </c>
      <c r="AX49" s="144" t="str">
        <f t="shared" si="59"/>
        <v/>
      </c>
      <c r="AY49" s="10"/>
      <c r="AZ49" s="10"/>
    </row>
    <row r="50" spans="12:52" ht="16.5" hidden="1" customHeight="1" x14ac:dyDescent="0.35">
      <c r="L50" s="6"/>
      <c r="M50" s="5"/>
      <c r="N50" s="5"/>
      <c r="O50" s="51">
        <f t="shared" si="60"/>
        <v>78</v>
      </c>
      <c r="P50" s="144"/>
      <c r="Q50" s="144" t="str">
        <f t="shared" si="26"/>
        <v/>
      </c>
      <c r="R50" s="144" t="str">
        <f t="shared" si="27"/>
        <v/>
      </c>
      <c r="S50" s="144" t="str">
        <f t="shared" si="28"/>
        <v/>
      </c>
      <c r="T50" s="144" t="str">
        <f t="shared" si="29"/>
        <v/>
      </c>
      <c r="U50" s="144" t="str">
        <f t="shared" si="30"/>
        <v/>
      </c>
      <c r="V50" s="144" t="str">
        <f t="shared" si="31"/>
        <v/>
      </c>
      <c r="W50" s="144" t="str">
        <f t="shared" si="32"/>
        <v/>
      </c>
      <c r="X50" s="144" t="str">
        <f t="shared" si="33"/>
        <v/>
      </c>
      <c r="Y50" s="144" t="str">
        <f t="shared" si="34"/>
        <v/>
      </c>
      <c r="Z50" s="144" t="str">
        <f t="shared" si="35"/>
        <v/>
      </c>
      <c r="AA50" s="144" t="str">
        <f t="shared" si="36"/>
        <v/>
      </c>
      <c r="AB50" s="144" t="str">
        <f t="shared" si="37"/>
        <v/>
      </c>
      <c r="AC50" s="144" t="str">
        <f t="shared" si="38"/>
        <v/>
      </c>
      <c r="AD50" s="144" t="str">
        <f t="shared" si="39"/>
        <v/>
      </c>
      <c r="AE50" s="144" t="str">
        <f t="shared" si="40"/>
        <v/>
      </c>
      <c r="AF50" s="144" t="str">
        <f t="shared" si="41"/>
        <v/>
      </c>
      <c r="AG50" s="144" t="str">
        <f t="shared" si="42"/>
        <v/>
      </c>
      <c r="AH50" s="144" t="str">
        <f t="shared" si="43"/>
        <v/>
      </c>
      <c r="AI50" s="144" t="str">
        <f t="shared" si="44"/>
        <v/>
      </c>
      <c r="AJ50" s="144" t="str">
        <f t="shared" si="45"/>
        <v/>
      </c>
      <c r="AK50" s="144" t="str">
        <f t="shared" si="46"/>
        <v/>
      </c>
      <c r="AL50" s="144" t="str">
        <f t="shared" si="47"/>
        <v/>
      </c>
      <c r="AM50" s="144" t="str">
        <f t="shared" si="48"/>
        <v/>
      </c>
      <c r="AN50" s="144" t="str">
        <f t="shared" si="49"/>
        <v/>
      </c>
      <c r="AO50" s="144" t="str">
        <f t="shared" si="50"/>
        <v/>
      </c>
      <c r="AP50" s="144" t="str">
        <f t="shared" si="51"/>
        <v/>
      </c>
      <c r="AQ50" s="144" t="str">
        <f t="shared" si="52"/>
        <v/>
      </c>
      <c r="AR50" s="144" t="str">
        <f t="shared" si="53"/>
        <v/>
      </c>
      <c r="AS50" s="144" t="str">
        <f t="shared" si="54"/>
        <v/>
      </c>
      <c r="AT50" s="144" t="str">
        <f t="shared" si="55"/>
        <v/>
      </c>
      <c r="AU50" s="144" t="str">
        <f t="shared" si="56"/>
        <v/>
      </c>
      <c r="AV50" s="144" t="str">
        <f t="shared" si="57"/>
        <v/>
      </c>
      <c r="AW50" s="144" t="str">
        <f t="shared" si="58"/>
        <v/>
      </c>
      <c r="AX50" s="144" t="str">
        <f t="shared" si="59"/>
        <v/>
      </c>
      <c r="AY50" s="10"/>
      <c r="AZ50" s="10"/>
    </row>
    <row r="51" spans="12:52" ht="16.5" hidden="1" customHeight="1" x14ac:dyDescent="0.35">
      <c r="L51" s="6"/>
      <c r="M51" s="5"/>
      <c r="N51" s="5"/>
      <c r="O51" s="51">
        <f t="shared" si="60"/>
        <v>76</v>
      </c>
      <c r="P51" s="144"/>
      <c r="Q51" s="144" t="str">
        <f t="shared" si="26"/>
        <v/>
      </c>
      <c r="R51" s="144" t="str">
        <f t="shared" si="27"/>
        <v/>
      </c>
      <c r="S51" s="144" t="str">
        <f t="shared" si="28"/>
        <v/>
      </c>
      <c r="T51" s="144" t="str">
        <f t="shared" si="29"/>
        <v/>
      </c>
      <c r="U51" s="144" t="str">
        <f t="shared" si="30"/>
        <v/>
      </c>
      <c r="V51" s="144" t="str">
        <f t="shared" si="31"/>
        <v/>
      </c>
      <c r="W51" s="144" t="str">
        <f t="shared" si="32"/>
        <v/>
      </c>
      <c r="X51" s="144" t="str">
        <f t="shared" si="33"/>
        <v/>
      </c>
      <c r="Y51" s="144" t="str">
        <f t="shared" si="34"/>
        <v/>
      </c>
      <c r="Z51" s="144" t="str">
        <f t="shared" si="35"/>
        <v/>
      </c>
      <c r="AA51" s="144" t="str">
        <f t="shared" si="36"/>
        <v/>
      </c>
      <c r="AB51" s="144" t="str">
        <f t="shared" si="37"/>
        <v/>
      </c>
      <c r="AC51" s="144" t="str">
        <f t="shared" si="38"/>
        <v/>
      </c>
      <c r="AD51" s="144" t="str">
        <f t="shared" si="39"/>
        <v/>
      </c>
      <c r="AE51" s="144" t="str">
        <f t="shared" si="40"/>
        <v/>
      </c>
      <c r="AF51" s="144" t="str">
        <f t="shared" si="41"/>
        <v/>
      </c>
      <c r="AG51" s="144" t="str">
        <f t="shared" si="42"/>
        <v/>
      </c>
      <c r="AH51" s="144" t="str">
        <f t="shared" si="43"/>
        <v/>
      </c>
      <c r="AI51" s="144" t="str">
        <f t="shared" si="44"/>
        <v/>
      </c>
      <c r="AJ51" s="144" t="str">
        <f t="shared" si="45"/>
        <v/>
      </c>
      <c r="AK51" s="144" t="str">
        <f t="shared" si="46"/>
        <v/>
      </c>
      <c r="AL51" s="144" t="str">
        <f t="shared" si="47"/>
        <v/>
      </c>
      <c r="AM51" s="144" t="str">
        <f t="shared" si="48"/>
        <v/>
      </c>
      <c r="AN51" s="144" t="str">
        <f t="shared" si="49"/>
        <v/>
      </c>
      <c r="AO51" s="144" t="str">
        <f t="shared" si="50"/>
        <v/>
      </c>
      <c r="AP51" s="144" t="str">
        <f t="shared" si="51"/>
        <v/>
      </c>
      <c r="AQ51" s="144" t="str">
        <f t="shared" si="52"/>
        <v/>
      </c>
      <c r="AR51" s="144" t="str">
        <f t="shared" si="53"/>
        <v/>
      </c>
      <c r="AS51" s="144" t="str">
        <f t="shared" si="54"/>
        <v/>
      </c>
      <c r="AT51" s="144" t="str">
        <f t="shared" si="55"/>
        <v/>
      </c>
      <c r="AU51" s="144" t="str">
        <f t="shared" si="56"/>
        <v/>
      </c>
      <c r="AV51" s="144" t="str">
        <f t="shared" si="57"/>
        <v/>
      </c>
      <c r="AW51" s="144" t="str">
        <f t="shared" si="58"/>
        <v/>
      </c>
      <c r="AX51" s="144" t="str">
        <f t="shared" si="59"/>
        <v/>
      </c>
      <c r="AY51" s="10"/>
      <c r="AZ51" s="10"/>
    </row>
    <row r="52" spans="12:52" ht="16.5" hidden="1" customHeight="1" x14ac:dyDescent="0.35">
      <c r="L52" s="6"/>
      <c r="M52" s="5"/>
      <c r="N52" s="5"/>
      <c r="O52" s="51">
        <f t="shared" si="60"/>
        <v>74</v>
      </c>
      <c r="P52" s="144"/>
      <c r="Q52" s="144" t="str">
        <f t="shared" si="26"/>
        <v/>
      </c>
      <c r="R52" s="144" t="str">
        <f t="shared" si="27"/>
        <v/>
      </c>
      <c r="S52" s="144" t="str">
        <f t="shared" si="28"/>
        <v/>
      </c>
      <c r="T52" s="144" t="str">
        <f t="shared" si="29"/>
        <v/>
      </c>
      <c r="U52" s="144" t="str">
        <f t="shared" si="30"/>
        <v/>
      </c>
      <c r="V52" s="144" t="str">
        <f t="shared" si="31"/>
        <v/>
      </c>
      <c r="W52" s="144" t="str">
        <f t="shared" si="32"/>
        <v/>
      </c>
      <c r="X52" s="144" t="str">
        <f t="shared" si="33"/>
        <v/>
      </c>
      <c r="Y52" s="144" t="str">
        <f t="shared" si="34"/>
        <v/>
      </c>
      <c r="Z52" s="144" t="str">
        <f t="shared" si="35"/>
        <v/>
      </c>
      <c r="AA52" s="144" t="str">
        <f t="shared" si="36"/>
        <v/>
      </c>
      <c r="AB52" s="144" t="str">
        <f t="shared" si="37"/>
        <v/>
      </c>
      <c r="AC52" s="144" t="str">
        <f t="shared" si="38"/>
        <v/>
      </c>
      <c r="AD52" s="144" t="str">
        <f t="shared" si="39"/>
        <v/>
      </c>
      <c r="AE52" s="144" t="str">
        <f t="shared" si="40"/>
        <v/>
      </c>
      <c r="AF52" s="144" t="str">
        <f t="shared" si="41"/>
        <v/>
      </c>
      <c r="AG52" s="144" t="str">
        <f t="shared" si="42"/>
        <v/>
      </c>
      <c r="AH52" s="144" t="str">
        <f t="shared" si="43"/>
        <v/>
      </c>
      <c r="AI52" s="144" t="str">
        <f t="shared" si="44"/>
        <v/>
      </c>
      <c r="AJ52" s="144" t="str">
        <f t="shared" si="45"/>
        <v/>
      </c>
      <c r="AK52" s="144" t="str">
        <f t="shared" si="46"/>
        <v/>
      </c>
      <c r="AL52" s="144" t="str">
        <f t="shared" si="47"/>
        <v/>
      </c>
      <c r="AM52" s="144" t="str">
        <f t="shared" si="48"/>
        <v/>
      </c>
      <c r="AN52" s="144" t="str">
        <f t="shared" si="49"/>
        <v/>
      </c>
      <c r="AO52" s="144" t="str">
        <f t="shared" si="50"/>
        <v/>
      </c>
      <c r="AP52" s="144" t="str">
        <f t="shared" si="51"/>
        <v/>
      </c>
      <c r="AQ52" s="144" t="str">
        <f t="shared" si="52"/>
        <v/>
      </c>
      <c r="AR52" s="144" t="str">
        <f t="shared" si="53"/>
        <v/>
      </c>
      <c r="AS52" s="144" t="str">
        <f t="shared" si="54"/>
        <v/>
      </c>
      <c r="AT52" s="144" t="str">
        <f t="shared" si="55"/>
        <v/>
      </c>
      <c r="AU52" s="144" t="str">
        <f t="shared" si="56"/>
        <v/>
      </c>
      <c r="AV52" s="144" t="str">
        <f t="shared" si="57"/>
        <v/>
      </c>
      <c r="AW52" s="144" t="str">
        <f t="shared" si="58"/>
        <v/>
      </c>
      <c r="AX52" s="144" t="str">
        <f t="shared" si="59"/>
        <v/>
      </c>
      <c r="AY52" s="10"/>
      <c r="AZ52" s="10"/>
    </row>
    <row r="53" spans="12:52" ht="16.5" hidden="1" customHeight="1" x14ac:dyDescent="0.35">
      <c r="L53" s="6"/>
      <c r="M53" s="5"/>
      <c r="N53" s="5"/>
      <c r="O53" s="51">
        <f t="shared" ref="O53:O87" si="61">+O54+$O$88</f>
        <v>72</v>
      </c>
      <c r="P53" s="144" t="str">
        <f>+IF(AND($O$88+P$90&gt;$O53,$O$88+P$90&lt;=$O45),P$90,"")</f>
        <v/>
      </c>
      <c r="Q53" s="144" t="str">
        <f t="shared" si="26"/>
        <v/>
      </c>
      <c r="R53" s="144" t="str">
        <f t="shared" si="27"/>
        <v/>
      </c>
      <c r="S53" s="144" t="str">
        <f t="shared" si="28"/>
        <v/>
      </c>
      <c r="T53" s="144" t="str">
        <f t="shared" si="29"/>
        <v/>
      </c>
      <c r="U53" s="144" t="str">
        <f t="shared" si="30"/>
        <v/>
      </c>
      <c r="V53" s="144" t="str">
        <f t="shared" si="31"/>
        <v/>
      </c>
      <c r="W53" s="144" t="str">
        <f t="shared" si="32"/>
        <v/>
      </c>
      <c r="X53" s="144" t="str">
        <f t="shared" si="33"/>
        <v/>
      </c>
      <c r="Y53" s="144" t="str">
        <f t="shared" si="34"/>
        <v/>
      </c>
      <c r="Z53" s="144" t="str">
        <f t="shared" si="35"/>
        <v/>
      </c>
      <c r="AA53" s="144" t="str">
        <f t="shared" si="36"/>
        <v/>
      </c>
      <c r="AB53" s="144" t="str">
        <f t="shared" si="37"/>
        <v/>
      </c>
      <c r="AC53" s="144" t="str">
        <f t="shared" si="38"/>
        <v/>
      </c>
      <c r="AD53" s="144" t="str">
        <f t="shared" si="39"/>
        <v/>
      </c>
      <c r="AE53" s="144" t="str">
        <f t="shared" si="40"/>
        <v/>
      </c>
      <c r="AF53" s="144" t="str">
        <f t="shared" si="41"/>
        <v/>
      </c>
      <c r="AG53" s="144" t="str">
        <f t="shared" si="42"/>
        <v/>
      </c>
      <c r="AH53" s="144" t="str">
        <f t="shared" si="43"/>
        <v/>
      </c>
      <c r="AI53" s="144" t="str">
        <f t="shared" si="44"/>
        <v/>
      </c>
      <c r="AJ53" s="144" t="str">
        <f t="shared" si="45"/>
        <v/>
      </c>
      <c r="AK53" s="144" t="str">
        <f t="shared" si="46"/>
        <v/>
      </c>
      <c r="AL53" s="144" t="str">
        <f t="shared" si="47"/>
        <v/>
      </c>
      <c r="AM53" s="144" t="str">
        <f t="shared" si="48"/>
        <v/>
      </c>
      <c r="AN53" s="144" t="str">
        <f t="shared" si="49"/>
        <v/>
      </c>
      <c r="AO53" s="144" t="str">
        <f t="shared" si="50"/>
        <v/>
      </c>
      <c r="AP53" s="144" t="str">
        <f t="shared" si="51"/>
        <v/>
      </c>
      <c r="AQ53" s="144" t="str">
        <f t="shared" si="52"/>
        <v/>
      </c>
      <c r="AR53" s="144" t="str">
        <f t="shared" si="53"/>
        <v/>
      </c>
      <c r="AS53" s="144" t="str">
        <f t="shared" si="54"/>
        <v/>
      </c>
      <c r="AT53" s="144" t="str">
        <f t="shared" si="55"/>
        <v/>
      </c>
      <c r="AU53" s="144" t="str">
        <f t="shared" si="56"/>
        <v/>
      </c>
      <c r="AV53" s="144" t="str">
        <f t="shared" si="57"/>
        <v/>
      </c>
      <c r="AW53" s="144" t="str">
        <f t="shared" si="58"/>
        <v/>
      </c>
      <c r="AX53" s="144" t="str">
        <f t="shared" si="59"/>
        <v/>
      </c>
      <c r="AY53" s="10"/>
      <c r="AZ53" s="10"/>
    </row>
    <row r="54" spans="12:52" ht="16.5" hidden="1" customHeight="1" x14ac:dyDescent="0.35">
      <c r="L54" s="6"/>
      <c r="M54" s="5"/>
      <c r="N54" s="5"/>
      <c r="O54" s="51">
        <f t="shared" si="61"/>
        <v>70</v>
      </c>
      <c r="P54" s="144" t="str">
        <f t="shared" ref="P54:P88" si="62">+IF(AND($O$88+P$90&gt;$O54,$O$88+P$90&lt;=$O53),P$90,"")</f>
        <v/>
      </c>
      <c r="Q54" s="144" t="str">
        <f t="shared" si="26"/>
        <v/>
      </c>
      <c r="R54" s="144" t="str">
        <f t="shared" si="27"/>
        <v/>
      </c>
      <c r="S54" s="144" t="str">
        <f t="shared" si="28"/>
        <v/>
      </c>
      <c r="T54" s="144" t="str">
        <f t="shared" si="29"/>
        <v/>
      </c>
      <c r="U54" s="144" t="str">
        <f t="shared" si="30"/>
        <v/>
      </c>
      <c r="V54" s="144" t="str">
        <f t="shared" si="31"/>
        <v/>
      </c>
      <c r="W54" s="144" t="str">
        <f t="shared" si="32"/>
        <v/>
      </c>
      <c r="X54" s="144" t="str">
        <f t="shared" si="33"/>
        <v/>
      </c>
      <c r="Y54" s="144" t="str">
        <f t="shared" si="34"/>
        <v/>
      </c>
      <c r="Z54" s="144" t="str">
        <f t="shared" si="35"/>
        <v/>
      </c>
      <c r="AA54" s="144" t="str">
        <f t="shared" si="36"/>
        <v/>
      </c>
      <c r="AB54" s="144" t="str">
        <f t="shared" si="37"/>
        <v/>
      </c>
      <c r="AC54" s="144" t="str">
        <f t="shared" si="38"/>
        <v/>
      </c>
      <c r="AD54" s="144" t="str">
        <f t="shared" si="39"/>
        <v/>
      </c>
      <c r="AE54" s="144" t="str">
        <f t="shared" si="40"/>
        <v/>
      </c>
      <c r="AF54" s="144" t="str">
        <f t="shared" si="41"/>
        <v/>
      </c>
      <c r="AG54" s="144" t="str">
        <f t="shared" si="42"/>
        <v/>
      </c>
      <c r="AH54" s="144" t="str">
        <f t="shared" si="43"/>
        <v/>
      </c>
      <c r="AI54" s="144" t="str">
        <f t="shared" si="44"/>
        <v/>
      </c>
      <c r="AJ54" s="144" t="str">
        <f t="shared" si="45"/>
        <v/>
      </c>
      <c r="AK54" s="144" t="str">
        <f t="shared" si="46"/>
        <v/>
      </c>
      <c r="AL54" s="144" t="str">
        <f t="shared" si="47"/>
        <v/>
      </c>
      <c r="AM54" s="144" t="str">
        <f t="shared" si="48"/>
        <v/>
      </c>
      <c r="AN54" s="144" t="str">
        <f t="shared" si="49"/>
        <v/>
      </c>
      <c r="AO54" s="144" t="str">
        <f t="shared" si="50"/>
        <v/>
      </c>
      <c r="AP54" s="144" t="str">
        <f t="shared" si="51"/>
        <v/>
      </c>
      <c r="AQ54" s="144" t="str">
        <f t="shared" si="52"/>
        <v/>
      </c>
      <c r="AR54" s="144" t="str">
        <f t="shared" si="53"/>
        <v/>
      </c>
      <c r="AS54" s="144" t="str">
        <f t="shared" si="54"/>
        <v/>
      </c>
      <c r="AT54" s="144" t="str">
        <f t="shared" si="55"/>
        <v/>
      </c>
      <c r="AU54" s="144" t="str">
        <f t="shared" si="56"/>
        <v/>
      </c>
      <c r="AV54" s="144" t="str">
        <f t="shared" si="57"/>
        <v/>
      </c>
      <c r="AW54" s="144" t="str">
        <f t="shared" si="58"/>
        <v/>
      </c>
      <c r="AX54" s="144" t="str">
        <f t="shared" si="59"/>
        <v/>
      </c>
      <c r="AY54" s="10"/>
      <c r="AZ54" s="10"/>
    </row>
    <row r="55" spans="12:52" ht="16.5" hidden="1" customHeight="1" x14ac:dyDescent="0.35">
      <c r="L55" s="6"/>
      <c r="M55" s="5"/>
      <c r="N55" s="5"/>
      <c r="O55" s="51">
        <f t="shared" si="61"/>
        <v>68</v>
      </c>
      <c r="P55" s="144" t="str">
        <f t="shared" si="62"/>
        <v/>
      </c>
      <c r="Q55" s="144" t="str">
        <f t="shared" si="26"/>
        <v/>
      </c>
      <c r="R55" s="144" t="str">
        <f t="shared" si="27"/>
        <v/>
      </c>
      <c r="S55" s="144" t="str">
        <f t="shared" si="28"/>
        <v/>
      </c>
      <c r="T55" s="144" t="str">
        <f t="shared" si="29"/>
        <v/>
      </c>
      <c r="U55" s="144" t="str">
        <f t="shared" si="30"/>
        <v/>
      </c>
      <c r="V55" s="144" t="str">
        <f t="shared" si="31"/>
        <v/>
      </c>
      <c r="W55" s="144" t="str">
        <f t="shared" si="32"/>
        <v/>
      </c>
      <c r="X55" s="144" t="str">
        <f t="shared" si="33"/>
        <v/>
      </c>
      <c r="Y55" s="144" t="str">
        <f t="shared" si="34"/>
        <v/>
      </c>
      <c r="Z55" s="144" t="str">
        <f t="shared" si="35"/>
        <v/>
      </c>
      <c r="AA55" s="144" t="str">
        <f t="shared" si="36"/>
        <v/>
      </c>
      <c r="AB55" s="144" t="str">
        <f t="shared" si="37"/>
        <v/>
      </c>
      <c r="AC55" s="144" t="str">
        <f t="shared" si="38"/>
        <v/>
      </c>
      <c r="AD55" s="144" t="str">
        <f t="shared" si="39"/>
        <v/>
      </c>
      <c r="AE55" s="144" t="str">
        <f t="shared" si="40"/>
        <v/>
      </c>
      <c r="AF55" s="144" t="str">
        <f t="shared" si="41"/>
        <v/>
      </c>
      <c r="AG55" s="144" t="str">
        <f t="shared" si="42"/>
        <v/>
      </c>
      <c r="AH55" s="144" t="str">
        <f t="shared" si="43"/>
        <v/>
      </c>
      <c r="AI55" s="144" t="str">
        <f t="shared" si="44"/>
        <v/>
      </c>
      <c r="AJ55" s="144" t="str">
        <f t="shared" si="45"/>
        <v/>
      </c>
      <c r="AK55" s="144" t="str">
        <f t="shared" si="46"/>
        <v/>
      </c>
      <c r="AL55" s="144" t="str">
        <f t="shared" si="47"/>
        <v/>
      </c>
      <c r="AM55" s="144" t="str">
        <f t="shared" si="48"/>
        <v/>
      </c>
      <c r="AN55" s="144" t="str">
        <f t="shared" si="49"/>
        <v/>
      </c>
      <c r="AO55" s="144" t="str">
        <f t="shared" si="50"/>
        <v/>
      </c>
      <c r="AP55" s="144" t="str">
        <f t="shared" si="51"/>
        <v/>
      </c>
      <c r="AQ55" s="144" t="str">
        <f t="shared" si="52"/>
        <v/>
      </c>
      <c r="AR55" s="144" t="str">
        <f t="shared" si="53"/>
        <v/>
      </c>
      <c r="AS55" s="144" t="str">
        <f t="shared" si="54"/>
        <v/>
      </c>
      <c r="AT55" s="144" t="str">
        <f t="shared" si="55"/>
        <v/>
      </c>
      <c r="AU55" s="144" t="str">
        <f t="shared" si="56"/>
        <v/>
      </c>
      <c r="AV55" s="144" t="str">
        <f t="shared" si="57"/>
        <v/>
      </c>
      <c r="AW55" s="144" t="str">
        <f t="shared" si="58"/>
        <v/>
      </c>
      <c r="AX55" s="144" t="str">
        <f t="shared" si="59"/>
        <v/>
      </c>
      <c r="AY55" s="10"/>
      <c r="AZ55" s="10"/>
    </row>
    <row r="56" spans="12:52" ht="16.5" hidden="1" customHeight="1" x14ac:dyDescent="0.35">
      <c r="L56" s="6"/>
      <c r="M56" s="5"/>
      <c r="N56" s="5"/>
      <c r="O56" s="51">
        <f t="shared" si="61"/>
        <v>66</v>
      </c>
      <c r="P56" s="144" t="str">
        <f t="shared" si="62"/>
        <v/>
      </c>
      <c r="Q56" s="144" t="str">
        <f t="shared" si="26"/>
        <v/>
      </c>
      <c r="R56" s="144" t="str">
        <f t="shared" si="27"/>
        <v/>
      </c>
      <c r="S56" s="144" t="str">
        <f t="shared" si="28"/>
        <v/>
      </c>
      <c r="T56" s="144" t="str">
        <f t="shared" si="29"/>
        <v/>
      </c>
      <c r="U56" s="144" t="str">
        <f t="shared" si="30"/>
        <v/>
      </c>
      <c r="V56" s="144" t="str">
        <f t="shared" si="31"/>
        <v/>
      </c>
      <c r="W56" s="144" t="str">
        <f t="shared" si="32"/>
        <v/>
      </c>
      <c r="X56" s="144" t="str">
        <f t="shared" si="33"/>
        <v/>
      </c>
      <c r="Y56" s="144" t="str">
        <f t="shared" si="34"/>
        <v/>
      </c>
      <c r="Z56" s="144" t="str">
        <f t="shared" si="35"/>
        <v/>
      </c>
      <c r="AA56" s="144" t="str">
        <f t="shared" si="36"/>
        <v/>
      </c>
      <c r="AB56" s="144" t="str">
        <f t="shared" si="37"/>
        <v/>
      </c>
      <c r="AC56" s="144" t="str">
        <f t="shared" si="38"/>
        <v/>
      </c>
      <c r="AD56" s="144" t="str">
        <f t="shared" si="39"/>
        <v/>
      </c>
      <c r="AE56" s="144" t="str">
        <f t="shared" si="40"/>
        <v/>
      </c>
      <c r="AF56" s="144" t="str">
        <f t="shared" si="41"/>
        <v/>
      </c>
      <c r="AG56" s="144" t="str">
        <f t="shared" si="42"/>
        <v/>
      </c>
      <c r="AH56" s="144" t="str">
        <f t="shared" si="43"/>
        <v/>
      </c>
      <c r="AI56" s="144" t="str">
        <f t="shared" si="44"/>
        <v/>
      </c>
      <c r="AJ56" s="144" t="str">
        <f t="shared" si="45"/>
        <v/>
      </c>
      <c r="AK56" s="144" t="str">
        <f t="shared" si="46"/>
        <v/>
      </c>
      <c r="AL56" s="144" t="str">
        <f t="shared" si="47"/>
        <v/>
      </c>
      <c r="AM56" s="144" t="str">
        <f t="shared" si="48"/>
        <v/>
      </c>
      <c r="AN56" s="144" t="str">
        <f t="shared" si="49"/>
        <v/>
      </c>
      <c r="AO56" s="144" t="str">
        <f t="shared" si="50"/>
        <v/>
      </c>
      <c r="AP56" s="144" t="str">
        <f t="shared" si="51"/>
        <v/>
      </c>
      <c r="AQ56" s="144" t="str">
        <f t="shared" si="52"/>
        <v/>
      </c>
      <c r="AR56" s="144" t="str">
        <f t="shared" si="53"/>
        <v/>
      </c>
      <c r="AS56" s="144" t="str">
        <f t="shared" si="54"/>
        <v/>
      </c>
      <c r="AT56" s="144" t="str">
        <f t="shared" si="55"/>
        <v/>
      </c>
      <c r="AU56" s="144" t="str">
        <f t="shared" si="56"/>
        <v/>
      </c>
      <c r="AV56" s="144" t="str">
        <f t="shared" si="57"/>
        <v/>
      </c>
      <c r="AW56" s="144" t="str">
        <f t="shared" si="58"/>
        <v/>
      </c>
      <c r="AX56" s="144" t="str">
        <f t="shared" si="59"/>
        <v/>
      </c>
      <c r="AY56" s="10"/>
      <c r="AZ56" s="10"/>
    </row>
    <row r="57" spans="12:52" ht="16.5" hidden="1" customHeight="1" x14ac:dyDescent="0.35">
      <c r="L57" s="6"/>
      <c r="M57" s="5"/>
      <c r="N57" s="5"/>
      <c r="O57" s="51">
        <f t="shared" si="61"/>
        <v>64</v>
      </c>
      <c r="P57" s="144" t="str">
        <f t="shared" si="62"/>
        <v/>
      </c>
      <c r="Q57" s="144" t="str">
        <f t="shared" si="26"/>
        <v/>
      </c>
      <c r="R57" s="144" t="str">
        <f t="shared" si="27"/>
        <v/>
      </c>
      <c r="S57" s="144" t="str">
        <f t="shared" si="28"/>
        <v/>
      </c>
      <c r="T57" s="144" t="str">
        <f t="shared" si="29"/>
        <v/>
      </c>
      <c r="U57" s="144" t="str">
        <f t="shared" si="30"/>
        <v/>
      </c>
      <c r="V57" s="144" t="str">
        <f t="shared" si="31"/>
        <v/>
      </c>
      <c r="W57" s="144" t="str">
        <f t="shared" si="32"/>
        <v/>
      </c>
      <c r="X57" s="144" t="str">
        <f t="shared" si="33"/>
        <v/>
      </c>
      <c r="Y57" s="144" t="str">
        <f t="shared" si="34"/>
        <v/>
      </c>
      <c r="Z57" s="144" t="str">
        <f t="shared" si="35"/>
        <v/>
      </c>
      <c r="AA57" s="144" t="str">
        <f t="shared" si="36"/>
        <v/>
      </c>
      <c r="AB57" s="144" t="str">
        <f t="shared" si="37"/>
        <v/>
      </c>
      <c r="AC57" s="144" t="str">
        <f t="shared" si="38"/>
        <v/>
      </c>
      <c r="AD57" s="144" t="str">
        <f t="shared" si="39"/>
        <v/>
      </c>
      <c r="AE57" s="144" t="str">
        <f t="shared" si="40"/>
        <v/>
      </c>
      <c r="AF57" s="144" t="str">
        <f t="shared" si="41"/>
        <v/>
      </c>
      <c r="AG57" s="144" t="str">
        <f t="shared" si="42"/>
        <v/>
      </c>
      <c r="AH57" s="144" t="str">
        <f t="shared" si="43"/>
        <v/>
      </c>
      <c r="AI57" s="144" t="str">
        <f t="shared" si="44"/>
        <v/>
      </c>
      <c r="AJ57" s="144" t="str">
        <f t="shared" si="45"/>
        <v/>
      </c>
      <c r="AK57" s="144" t="str">
        <f t="shared" si="46"/>
        <v/>
      </c>
      <c r="AL57" s="144" t="str">
        <f t="shared" si="47"/>
        <v/>
      </c>
      <c r="AM57" s="144" t="str">
        <f t="shared" si="48"/>
        <v/>
      </c>
      <c r="AN57" s="144" t="str">
        <f t="shared" si="49"/>
        <v/>
      </c>
      <c r="AO57" s="144" t="str">
        <f t="shared" si="50"/>
        <v/>
      </c>
      <c r="AP57" s="144" t="str">
        <f t="shared" si="51"/>
        <v/>
      </c>
      <c r="AQ57" s="144" t="str">
        <f t="shared" si="52"/>
        <v/>
      </c>
      <c r="AR57" s="144" t="str">
        <f t="shared" si="53"/>
        <v/>
      </c>
      <c r="AS57" s="144" t="str">
        <f t="shared" si="54"/>
        <v/>
      </c>
      <c r="AT57" s="144" t="str">
        <f t="shared" si="55"/>
        <v/>
      </c>
      <c r="AU57" s="144" t="str">
        <f t="shared" si="56"/>
        <v/>
      </c>
      <c r="AV57" s="144" t="str">
        <f t="shared" si="57"/>
        <v/>
      </c>
      <c r="AW57" s="144" t="str">
        <f t="shared" si="58"/>
        <v/>
      </c>
      <c r="AX57" s="144" t="str">
        <f t="shared" si="59"/>
        <v/>
      </c>
      <c r="AY57" s="10"/>
      <c r="AZ57" s="10"/>
    </row>
    <row r="58" spans="12:52" ht="16.5" hidden="1" customHeight="1" x14ac:dyDescent="0.35">
      <c r="L58" s="6"/>
      <c r="M58" s="5"/>
      <c r="N58" s="5"/>
      <c r="O58" s="51">
        <f t="shared" si="61"/>
        <v>62</v>
      </c>
      <c r="P58" s="144" t="str">
        <f t="shared" si="62"/>
        <v/>
      </c>
      <c r="Q58" s="144" t="str">
        <f t="shared" si="26"/>
        <v/>
      </c>
      <c r="R58" s="144" t="str">
        <f t="shared" si="27"/>
        <v/>
      </c>
      <c r="S58" s="144" t="str">
        <f t="shared" si="28"/>
        <v/>
      </c>
      <c r="T58" s="144" t="str">
        <f t="shared" si="29"/>
        <v/>
      </c>
      <c r="U58" s="144" t="str">
        <f t="shared" si="30"/>
        <v/>
      </c>
      <c r="V58" s="144" t="str">
        <f t="shared" si="31"/>
        <v/>
      </c>
      <c r="W58" s="144" t="str">
        <f t="shared" si="32"/>
        <v/>
      </c>
      <c r="X58" s="144" t="str">
        <f t="shared" si="33"/>
        <v/>
      </c>
      <c r="Y58" s="144" t="str">
        <f t="shared" si="34"/>
        <v/>
      </c>
      <c r="Z58" s="144" t="str">
        <f t="shared" si="35"/>
        <v/>
      </c>
      <c r="AA58" s="144" t="str">
        <f t="shared" si="36"/>
        <v/>
      </c>
      <c r="AB58" s="144" t="str">
        <f t="shared" si="37"/>
        <v/>
      </c>
      <c r="AC58" s="144" t="str">
        <f t="shared" si="38"/>
        <v/>
      </c>
      <c r="AD58" s="144" t="str">
        <f t="shared" si="39"/>
        <v/>
      </c>
      <c r="AE58" s="144" t="str">
        <f t="shared" si="40"/>
        <v/>
      </c>
      <c r="AF58" s="144" t="str">
        <f t="shared" si="41"/>
        <v/>
      </c>
      <c r="AG58" s="144" t="str">
        <f t="shared" si="42"/>
        <v/>
      </c>
      <c r="AH58" s="144" t="str">
        <f t="shared" si="43"/>
        <v/>
      </c>
      <c r="AI58" s="144" t="str">
        <f t="shared" si="44"/>
        <v/>
      </c>
      <c r="AJ58" s="144" t="str">
        <f t="shared" si="45"/>
        <v/>
      </c>
      <c r="AK58" s="144" t="str">
        <f t="shared" si="46"/>
        <v/>
      </c>
      <c r="AL58" s="144" t="str">
        <f t="shared" si="47"/>
        <v/>
      </c>
      <c r="AM58" s="144" t="str">
        <f t="shared" si="48"/>
        <v/>
      </c>
      <c r="AN58" s="144" t="str">
        <f t="shared" si="49"/>
        <v/>
      </c>
      <c r="AO58" s="144" t="str">
        <f t="shared" si="50"/>
        <v/>
      </c>
      <c r="AP58" s="144" t="str">
        <f t="shared" si="51"/>
        <v/>
      </c>
      <c r="AQ58" s="144" t="str">
        <f t="shared" si="52"/>
        <v/>
      </c>
      <c r="AR58" s="144" t="str">
        <f t="shared" si="53"/>
        <v/>
      </c>
      <c r="AS58" s="144" t="str">
        <f t="shared" si="54"/>
        <v/>
      </c>
      <c r="AT58" s="144" t="str">
        <f t="shared" si="55"/>
        <v/>
      </c>
      <c r="AU58" s="144" t="str">
        <f t="shared" si="56"/>
        <v/>
      </c>
      <c r="AV58" s="144" t="str">
        <f t="shared" si="57"/>
        <v/>
      </c>
      <c r="AW58" s="144" t="str">
        <f t="shared" si="58"/>
        <v/>
      </c>
      <c r="AX58" s="144" t="str">
        <f t="shared" si="59"/>
        <v/>
      </c>
      <c r="AY58" s="10"/>
      <c r="AZ58" s="10"/>
    </row>
    <row r="59" spans="12:52" ht="16.5" hidden="1" customHeight="1" x14ac:dyDescent="0.35">
      <c r="L59" s="6"/>
      <c r="M59" s="5"/>
      <c r="N59" s="5"/>
      <c r="O59" s="51">
        <f t="shared" si="61"/>
        <v>60</v>
      </c>
      <c r="P59" s="144" t="str">
        <f t="shared" si="62"/>
        <v/>
      </c>
      <c r="Q59" s="144" t="str">
        <f t="shared" si="26"/>
        <v/>
      </c>
      <c r="R59" s="144" t="str">
        <f t="shared" si="27"/>
        <v/>
      </c>
      <c r="S59" s="144" t="str">
        <f t="shared" si="28"/>
        <v/>
      </c>
      <c r="T59" s="144" t="str">
        <f t="shared" si="29"/>
        <v/>
      </c>
      <c r="U59" s="144" t="str">
        <f t="shared" si="30"/>
        <v/>
      </c>
      <c r="V59" s="144" t="str">
        <f t="shared" si="31"/>
        <v/>
      </c>
      <c r="W59" s="144" t="str">
        <f t="shared" si="32"/>
        <v/>
      </c>
      <c r="X59" s="144" t="str">
        <f t="shared" si="33"/>
        <v/>
      </c>
      <c r="Y59" s="144" t="str">
        <f t="shared" si="34"/>
        <v/>
      </c>
      <c r="Z59" s="144" t="str">
        <f t="shared" si="35"/>
        <v/>
      </c>
      <c r="AA59" s="144" t="str">
        <f t="shared" si="36"/>
        <v/>
      </c>
      <c r="AB59" s="144" t="str">
        <f t="shared" si="37"/>
        <v/>
      </c>
      <c r="AC59" s="144" t="str">
        <f t="shared" si="38"/>
        <v/>
      </c>
      <c r="AD59" s="144" t="str">
        <f t="shared" si="39"/>
        <v/>
      </c>
      <c r="AE59" s="144" t="str">
        <f t="shared" si="40"/>
        <v/>
      </c>
      <c r="AF59" s="144" t="str">
        <f t="shared" si="41"/>
        <v/>
      </c>
      <c r="AG59" s="144" t="str">
        <f t="shared" si="42"/>
        <v/>
      </c>
      <c r="AH59" s="144" t="str">
        <f t="shared" si="43"/>
        <v/>
      </c>
      <c r="AI59" s="144" t="str">
        <f t="shared" si="44"/>
        <v/>
      </c>
      <c r="AJ59" s="144" t="str">
        <f t="shared" si="45"/>
        <v/>
      </c>
      <c r="AK59" s="144" t="str">
        <f t="shared" si="46"/>
        <v/>
      </c>
      <c r="AL59" s="144" t="str">
        <f t="shared" si="47"/>
        <v/>
      </c>
      <c r="AM59" s="144" t="str">
        <f t="shared" si="48"/>
        <v/>
      </c>
      <c r="AN59" s="144" t="str">
        <f t="shared" si="49"/>
        <v/>
      </c>
      <c r="AO59" s="144" t="str">
        <f t="shared" si="50"/>
        <v/>
      </c>
      <c r="AP59" s="144" t="str">
        <f t="shared" si="51"/>
        <v/>
      </c>
      <c r="AQ59" s="144" t="str">
        <f t="shared" si="52"/>
        <v/>
      </c>
      <c r="AR59" s="144" t="str">
        <f t="shared" si="53"/>
        <v/>
      </c>
      <c r="AS59" s="144" t="str">
        <f t="shared" si="54"/>
        <v/>
      </c>
      <c r="AT59" s="144" t="str">
        <f t="shared" si="55"/>
        <v/>
      </c>
      <c r="AU59" s="144" t="str">
        <f t="shared" si="56"/>
        <v/>
      </c>
      <c r="AV59" s="144" t="str">
        <f t="shared" si="57"/>
        <v/>
      </c>
      <c r="AW59" s="144" t="str">
        <f t="shared" si="58"/>
        <v/>
      </c>
      <c r="AX59" s="144" t="str">
        <f t="shared" si="59"/>
        <v/>
      </c>
      <c r="AY59" s="10"/>
      <c r="AZ59" s="10"/>
    </row>
    <row r="60" spans="12:52" ht="16.5" hidden="1" customHeight="1" x14ac:dyDescent="0.35">
      <c r="L60" s="6"/>
      <c r="M60" s="5"/>
      <c r="N60" s="5"/>
      <c r="O60" s="51">
        <f t="shared" si="61"/>
        <v>58</v>
      </c>
      <c r="P60" s="144" t="str">
        <f t="shared" si="62"/>
        <v/>
      </c>
      <c r="Q60" s="144" t="str">
        <f t="shared" si="26"/>
        <v/>
      </c>
      <c r="R60" s="144" t="str">
        <f t="shared" si="27"/>
        <v/>
      </c>
      <c r="S60" s="144" t="str">
        <f t="shared" si="28"/>
        <v/>
      </c>
      <c r="T60" s="144" t="str">
        <f t="shared" si="29"/>
        <v/>
      </c>
      <c r="U60" s="144" t="str">
        <f t="shared" si="30"/>
        <v/>
      </c>
      <c r="V60" s="144" t="str">
        <f t="shared" si="31"/>
        <v/>
      </c>
      <c r="W60" s="144" t="str">
        <f t="shared" si="32"/>
        <v/>
      </c>
      <c r="X60" s="144" t="str">
        <f t="shared" si="33"/>
        <v/>
      </c>
      <c r="Y60" s="144" t="str">
        <f t="shared" si="34"/>
        <v/>
      </c>
      <c r="Z60" s="144" t="str">
        <f t="shared" si="35"/>
        <v/>
      </c>
      <c r="AA60" s="144" t="str">
        <f t="shared" si="36"/>
        <v/>
      </c>
      <c r="AB60" s="144" t="str">
        <f t="shared" si="37"/>
        <v/>
      </c>
      <c r="AC60" s="144" t="str">
        <f t="shared" si="38"/>
        <v/>
      </c>
      <c r="AD60" s="144" t="str">
        <f t="shared" si="39"/>
        <v/>
      </c>
      <c r="AE60" s="144" t="str">
        <f t="shared" si="40"/>
        <v/>
      </c>
      <c r="AF60" s="144" t="str">
        <f t="shared" si="41"/>
        <v/>
      </c>
      <c r="AG60" s="144" t="str">
        <f t="shared" si="42"/>
        <v/>
      </c>
      <c r="AH60" s="144" t="str">
        <f t="shared" si="43"/>
        <v/>
      </c>
      <c r="AI60" s="144" t="str">
        <f t="shared" si="44"/>
        <v/>
      </c>
      <c r="AJ60" s="144" t="str">
        <f t="shared" si="45"/>
        <v/>
      </c>
      <c r="AK60" s="144" t="str">
        <f t="shared" si="46"/>
        <v/>
      </c>
      <c r="AL60" s="144" t="str">
        <f t="shared" si="47"/>
        <v/>
      </c>
      <c r="AM60" s="144" t="str">
        <f t="shared" si="48"/>
        <v/>
      </c>
      <c r="AN60" s="144" t="str">
        <f t="shared" si="49"/>
        <v/>
      </c>
      <c r="AO60" s="144" t="str">
        <f t="shared" si="50"/>
        <v/>
      </c>
      <c r="AP60" s="144" t="str">
        <f t="shared" si="51"/>
        <v/>
      </c>
      <c r="AQ60" s="144" t="str">
        <f t="shared" si="52"/>
        <v/>
      </c>
      <c r="AR60" s="144" t="str">
        <f t="shared" si="53"/>
        <v/>
      </c>
      <c r="AS60" s="144" t="str">
        <f t="shared" si="54"/>
        <v/>
      </c>
      <c r="AT60" s="144" t="str">
        <f t="shared" si="55"/>
        <v/>
      </c>
      <c r="AU60" s="144" t="str">
        <f t="shared" si="56"/>
        <v/>
      </c>
      <c r="AV60" s="144" t="str">
        <f t="shared" si="57"/>
        <v/>
      </c>
      <c r="AW60" s="144" t="str">
        <f t="shared" si="58"/>
        <v/>
      </c>
      <c r="AX60" s="144" t="str">
        <f t="shared" si="59"/>
        <v/>
      </c>
      <c r="AY60" s="10"/>
      <c r="AZ60" s="10"/>
    </row>
    <row r="61" spans="12:52" ht="16.5" hidden="1" customHeight="1" x14ac:dyDescent="0.35">
      <c r="L61" s="6"/>
      <c r="M61" s="5"/>
      <c r="N61" s="5"/>
      <c r="O61" s="51">
        <f t="shared" si="61"/>
        <v>56</v>
      </c>
      <c r="P61" s="144" t="str">
        <f t="shared" si="62"/>
        <v/>
      </c>
      <c r="Q61" s="144" t="str">
        <f t="shared" si="26"/>
        <v/>
      </c>
      <c r="R61" s="144" t="str">
        <f t="shared" si="27"/>
        <v/>
      </c>
      <c r="S61" s="144" t="str">
        <f t="shared" si="28"/>
        <v/>
      </c>
      <c r="T61" s="144" t="str">
        <f t="shared" si="29"/>
        <v/>
      </c>
      <c r="U61" s="144" t="str">
        <f t="shared" si="30"/>
        <v/>
      </c>
      <c r="V61" s="144" t="str">
        <f t="shared" si="31"/>
        <v/>
      </c>
      <c r="W61" s="144" t="str">
        <f t="shared" si="32"/>
        <v/>
      </c>
      <c r="X61" s="144" t="str">
        <f t="shared" si="33"/>
        <v/>
      </c>
      <c r="Y61" s="144" t="str">
        <f t="shared" si="34"/>
        <v/>
      </c>
      <c r="Z61" s="144" t="str">
        <f t="shared" si="35"/>
        <v/>
      </c>
      <c r="AA61" s="144" t="str">
        <f t="shared" si="36"/>
        <v/>
      </c>
      <c r="AB61" s="144" t="str">
        <f t="shared" si="37"/>
        <v/>
      </c>
      <c r="AC61" s="144" t="str">
        <f t="shared" si="38"/>
        <v/>
      </c>
      <c r="AD61" s="144" t="str">
        <f t="shared" si="39"/>
        <v/>
      </c>
      <c r="AE61" s="144" t="str">
        <f t="shared" si="40"/>
        <v/>
      </c>
      <c r="AF61" s="144" t="str">
        <f t="shared" si="41"/>
        <v/>
      </c>
      <c r="AG61" s="144" t="str">
        <f t="shared" si="42"/>
        <v/>
      </c>
      <c r="AH61" s="144" t="str">
        <f t="shared" si="43"/>
        <v/>
      </c>
      <c r="AI61" s="144" t="str">
        <f t="shared" si="44"/>
        <v/>
      </c>
      <c r="AJ61" s="144" t="str">
        <f t="shared" si="45"/>
        <v/>
      </c>
      <c r="AK61" s="144" t="str">
        <f t="shared" si="46"/>
        <v/>
      </c>
      <c r="AL61" s="144" t="str">
        <f t="shared" si="47"/>
        <v/>
      </c>
      <c r="AM61" s="144" t="str">
        <f t="shared" si="48"/>
        <v/>
      </c>
      <c r="AN61" s="144" t="str">
        <f t="shared" si="49"/>
        <v/>
      </c>
      <c r="AO61" s="144" t="str">
        <f t="shared" si="50"/>
        <v/>
      </c>
      <c r="AP61" s="144" t="str">
        <f t="shared" si="51"/>
        <v/>
      </c>
      <c r="AQ61" s="144" t="str">
        <f t="shared" si="52"/>
        <v/>
      </c>
      <c r="AR61" s="144" t="str">
        <f t="shared" si="53"/>
        <v/>
      </c>
      <c r="AS61" s="144" t="str">
        <f t="shared" si="54"/>
        <v/>
      </c>
      <c r="AT61" s="144" t="str">
        <f t="shared" si="55"/>
        <v/>
      </c>
      <c r="AU61" s="144" t="str">
        <f t="shared" si="56"/>
        <v/>
      </c>
      <c r="AV61" s="144" t="str">
        <f t="shared" si="57"/>
        <v/>
      </c>
      <c r="AW61" s="144" t="str">
        <f t="shared" si="58"/>
        <v/>
      </c>
      <c r="AX61" s="144" t="str">
        <f t="shared" si="59"/>
        <v/>
      </c>
      <c r="AY61" s="10"/>
      <c r="AZ61" s="10"/>
    </row>
    <row r="62" spans="12:52" ht="16.5" hidden="1" customHeight="1" x14ac:dyDescent="0.35">
      <c r="L62" s="6"/>
      <c r="M62" s="5"/>
      <c r="N62" s="5"/>
      <c r="O62" s="51">
        <f t="shared" si="61"/>
        <v>54</v>
      </c>
      <c r="P62" s="144" t="str">
        <f t="shared" si="62"/>
        <v/>
      </c>
      <c r="Q62" s="144" t="str">
        <f t="shared" si="26"/>
        <v/>
      </c>
      <c r="R62" s="144" t="str">
        <f t="shared" si="27"/>
        <v/>
      </c>
      <c r="S62" s="144" t="str">
        <f t="shared" si="28"/>
        <v/>
      </c>
      <c r="T62" s="144" t="str">
        <f t="shared" si="29"/>
        <v/>
      </c>
      <c r="U62" s="144" t="str">
        <f t="shared" si="30"/>
        <v/>
      </c>
      <c r="V62" s="144" t="str">
        <f t="shared" si="31"/>
        <v/>
      </c>
      <c r="W62" s="144" t="str">
        <f t="shared" si="32"/>
        <v/>
      </c>
      <c r="X62" s="144" t="str">
        <f t="shared" si="33"/>
        <v/>
      </c>
      <c r="Y62" s="144" t="str">
        <f t="shared" si="34"/>
        <v/>
      </c>
      <c r="Z62" s="144" t="str">
        <f t="shared" si="35"/>
        <v/>
      </c>
      <c r="AA62" s="144" t="str">
        <f t="shared" si="36"/>
        <v/>
      </c>
      <c r="AB62" s="144" t="str">
        <f t="shared" si="37"/>
        <v/>
      </c>
      <c r="AC62" s="144" t="str">
        <f t="shared" si="38"/>
        <v/>
      </c>
      <c r="AD62" s="144" t="str">
        <f t="shared" si="39"/>
        <v/>
      </c>
      <c r="AE62" s="144" t="str">
        <f t="shared" si="40"/>
        <v/>
      </c>
      <c r="AF62" s="144" t="str">
        <f t="shared" si="41"/>
        <v/>
      </c>
      <c r="AG62" s="144" t="str">
        <f t="shared" si="42"/>
        <v/>
      </c>
      <c r="AH62" s="144" t="str">
        <f t="shared" si="43"/>
        <v/>
      </c>
      <c r="AI62" s="144" t="str">
        <f t="shared" si="44"/>
        <v/>
      </c>
      <c r="AJ62" s="144" t="str">
        <f t="shared" si="45"/>
        <v/>
      </c>
      <c r="AK62" s="144" t="str">
        <f t="shared" si="46"/>
        <v/>
      </c>
      <c r="AL62" s="144" t="str">
        <f t="shared" si="47"/>
        <v/>
      </c>
      <c r="AM62" s="144" t="str">
        <f t="shared" si="48"/>
        <v/>
      </c>
      <c r="AN62" s="144" t="str">
        <f t="shared" si="49"/>
        <v/>
      </c>
      <c r="AO62" s="144" t="str">
        <f t="shared" si="50"/>
        <v/>
      </c>
      <c r="AP62" s="144" t="str">
        <f t="shared" si="51"/>
        <v/>
      </c>
      <c r="AQ62" s="144" t="str">
        <f t="shared" si="52"/>
        <v/>
      </c>
      <c r="AR62" s="144" t="str">
        <f t="shared" si="53"/>
        <v/>
      </c>
      <c r="AS62" s="144" t="str">
        <f t="shared" si="54"/>
        <v/>
      </c>
      <c r="AT62" s="144" t="str">
        <f t="shared" si="55"/>
        <v/>
      </c>
      <c r="AU62" s="144" t="str">
        <f t="shared" si="56"/>
        <v/>
      </c>
      <c r="AV62" s="144" t="str">
        <f t="shared" si="57"/>
        <v/>
      </c>
      <c r="AW62" s="144" t="str">
        <f t="shared" si="58"/>
        <v/>
      </c>
      <c r="AX62" s="144" t="str">
        <f t="shared" si="59"/>
        <v/>
      </c>
      <c r="AY62" s="10"/>
      <c r="AZ62" s="10"/>
    </row>
    <row r="63" spans="12:52" ht="16.5" hidden="1" customHeight="1" x14ac:dyDescent="0.35">
      <c r="L63" s="6"/>
      <c r="M63" s="5"/>
      <c r="N63" s="5"/>
      <c r="O63" s="51">
        <f t="shared" si="61"/>
        <v>52</v>
      </c>
      <c r="P63" s="144" t="str">
        <f t="shared" si="62"/>
        <v/>
      </c>
      <c r="Q63" s="144" t="str">
        <f t="shared" si="26"/>
        <v/>
      </c>
      <c r="R63" s="144" t="str">
        <f t="shared" si="27"/>
        <v/>
      </c>
      <c r="S63" s="144" t="str">
        <f t="shared" si="28"/>
        <v/>
      </c>
      <c r="T63" s="144" t="str">
        <f t="shared" si="29"/>
        <v/>
      </c>
      <c r="U63" s="144" t="str">
        <f t="shared" si="30"/>
        <v/>
      </c>
      <c r="V63" s="144" t="str">
        <f t="shared" si="31"/>
        <v/>
      </c>
      <c r="W63" s="144" t="str">
        <f t="shared" si="32"/>
        <v/>
      </c>
      <c r="X63" s="144" t="str">
        <f t="shared" si="33"/>
        <v/>
      </c>
      <c r="Y63" s="144" t="str">
        <f t="shared" si="34"/>
        <v/>
      </c>
      <c r="Z63" s="144" t="str">
        <f t="shared" si="35"/>
        <v/>
      </c>
      <c r="AA63" s="144" t="str">
        <f t="shared" si="36"/>
        <v/>
      </c>
      <c r="AB63" s="144" t="str">
        <f t="shared" si="37"/>
        <v/>
      </c>
      <c r="AC63" s="144" t="str">
        <f t="shared" si="38"/>
        <v/>
      </c>
      <c r="AD63" s="144" t="str">
        <f t="shared" si="39"/>
        <v/>
      </c>
      <c r="AE63" s="144" t="str">
        <f t="shared" si="40"/>
        <v/>
      </c>
      <c r="AF63" s="144" t="str">
        <f t="shared" si="41"/>
        <v/>
      </c>
      <c r="AG63" s="144" t="str">
        <f t="shared" si="42"/>
        <v/>
      </c>
      <c r="AH63" s="144" t="str">
        <f t="shared" si="43"/>
        <v/>
      </c>
      <c r="AI63" s="144" t="str">
        <f t="shared" si="44"/>
        <v/>
      </c>
      <c r="AJ63" s="144" t="str">
        <f t="shared" si="45"/>
        <v/>
      </c>
      <c r="AK63" s="144" t="str">
        <f t="shared" si="46"/>
        <v/>
      </c>
      <c r="AL63" s="144" t="str">
        <f t="shared" si="47"/>
        <v/>
      </c>
      <c r="AM63" s="144" t="str">
        <f t="shared" si="48"/>
        <v/>
      </c>
      <c r="AN63" s="144" t="str">
        <f t="shared" si="49"/>
        <v/>
      </c>
      <c r="AO63" s="144" t="str">
        <f t="shared" si="50"/>
        <v/>
      </c>
      <c r="AP63" s="144" t="str">
        <f t="shared" si="51"/>
        <v/>
      </c>
      <c r="AQ63" s="144" t="str">
        <f t="shared" si="52"/>
        <v/>
      </c>
      <c r="AR63" s="144" t="str">
        <f t="shared" si="53"/>
        <v/>
      </c>
      <c r="AS63" s="144" t="str">
        <f t="shared" si="54"/>
        <v/>
      </c>
      <c r="AT63" s="144" t="str">
        <f t="shared" si="55"/>
        <v/>
      </c>
      <c r="AU63" s="144" t="str">
        <f t="shared" si="56"/>
        <v/>
      </c>
      <c r="AV63" s="144" t="str">
        <f t="shared" si="57"/>
        <v/>
      </c>
      <c r="AW63" s="144" t="str">
        <f t="shared" si="58"/>
        <v/>
      </c>
      <c r="AX63" s="144" t="str">
        <f t="shared" si="59"/>
        <v/>
      </c>
      <c r="AY63" s="10"/>
      <c r="AZ63" s="10"/>
    </row>
    <row r="64" spans="12:52" ht="16.5" hidden="1" customHeight="1" x14ac:dyDescent="0.35">
      <c r="L64" s="6"/>
      <c r="M64" s="5"/>
      <c r="N64" s="5"/>
      <c r="O64" s="51">
        <f t="shared" si="61"/>
        <v>50</v>
      </c>
      <c r="P64" s="144" t="str">
        <f t="shared" si="62"/>
        <v/>
      </c>
      <c r="Q64" s="144" t="str">
        <f t="shared" si="26"/>
        <v/>
      </c>
      <c r="R64" s="144" t="str">
        <f t="shared" si="27"/>
        <v/>
      </c>
      <c r="S64" s="144" t="str">
        <f t="shared" si="28"/>
        <v/>
      </c>
      <c r="T64" s="144" t="str">
        <f t="shared" si="29"/>
        <v/>
      </c>
      <c r="U64" s="144" t="str">
        <f t="shared" si="30"/>
        <v/>
      </c>
      <c r="V64" s="144" t="str">
        <f t="shared" si="31"/>
        <v/>
      </c>
      <c r="W64" s="144" t="str">
        <f t="shared" si="32"/>
        <v/>
      </c>
      <c r="X64" s="144" t="str">
        <f t="shared" si="33"/>
        <v/>
      </c>
      <c r="Y64" s="144" t="str">
        <f t="shared" si="34"/>
        <v/>
      </c>
      <c r="Z64" s="144" t="str">
        <f t="shared" si="35"/>
        <v/>
      </c>
      <c r="AA64" s="144" t="str">
        <f t="shared" si="36"/>
        <v/>
      </c>
      <c r="AB64" s="144" t="str">
        <f t="shared" si="37"/>
        <v/>
      </c>
      <c r="AC64" s="144" t="str">
        <f t="shared" si="38"/>
        <v/>
      </c>
      <c r="AD64" s="144" t="str">
        <f t="shared" si="39"/>
        <v/>
      </c>
      <c r="AE64" s="144" t="str">
        <f t="shared" si="40"/>
        <v/>
      </c>
      <c r="AF64" s="144" t="str">
        <f t="shared" si="41"/>
        <v/>
      </c>
      <c r="AG64" s="144" t="str">
        <f t="shared" si="42"/>
        <v/>
      </c>
      <c r="AH64" s="144" t="str">
        <f t="shared" si="43"/>
        <v/>
      </c>
      <c r="AI64" s="144" t="str">
        <f t="shared" si="44"/>
        <v/>
      </c>
      <c r="AJ64" s="144" t="str">
        <f t="shared" si="45"/>
        <v/>
      </c>
      <c r="AK64" s="144" t="str">
        <f t="shared" si="46"/>
        <v/>
      </c>
      <c r="AL64" s="144" t="str">
        <f t="shared" si="47"/>
        <v/>
      </c>
      <c r="AM64" s="144" t="str">
        <f t="shared" si="48"/>
        <v/>
      </c>
      <c r="AN64" s="144" t="str">
        <f t="shared" si="49"/>
        <v/>
      </c>
      <c r="AO64" s="144" t="str">
        <f t="shared" si="50"/>
        <v/>
      </c>
      <c r="AP64" s="144" t="str">
        <f t="shared" si="51"/>
        <v/>
      </c>
      <c r="AQ64" s="144" t="str">
        <f t="shared" si="52"/>
        <v/>
      </c>
      <c r="AR64" s="144" t="str">
        <f t="shared" si="53"/>
        <v/>
      </c>
      <c r="AS64" s="144" t="str">
        <f t="shared" si="54"/>
        <v/>
      </c>
      <c r="AT64" s="144" t="str">
        <f t="shared" si="55"/>
        <v/>
      </c>
      <c r="AU64" s="144" t="str">
        <f t="shared" si="56"/>
        <v/>
      </c>
      <c r="AV64" s="144" t="str">
        <f t="shared" si="57"/>
        <v/>
      </c>
      <c r="AW64" s="144" t="str">
        <f t="shared" si="58"/>
        <v/>
      </c>
      <c r="AX64" s="144" t="str">
        <f t="shared" si="59"/>
        <v/>
      </c>
      <c r="AY64" s="10"/>
      <c r="AZ64" s="10"/>
    </row>
    <row r="65" spans="12:52" ht="16.5" hidden="1" customHeight="1" x14ac:dyDescent="0.35">
      <c r="L65" s="6"/>
      <c r="M65" s="5"/>
      <c r="N65" s="5"/>
      <c r="O65" s="51">
        <f t="shared" si="61"/>
        <v>48</v>
      </c>
      <c r="P65" s="144" t="str">
        <f t="shared" si="62"/>
        <v/>
      </c>
      <c r="Q65" s="144" t="str">
        <f t="shared" si="26"/>
        <v/>
      </c>
      <c r="R65" s="144" t="str">
        <f t="shared" si="27"/>
        <v/>
      </c>
      <c r="S65" s="144" t="str">
        <f t="shared" si="28"/>
        <v/>
      </c>
      <c r="T65" s="144" t="str">
        <f t="shared" si="29"/>
        <v/>
      </c>
      <c r="U65" s="144" t="str">
        <f t="shared" si="30"/>
        <v/>
      </c>
      <c r="V65" s="144" t="str">
        <f t="shared" si="31"/>
        <v/>
      </c>
      <c r="W65" s="144" t="str">
        <f t="shared" si="32"/>
        <v/>
      </c>
      <c r="X65" s="144" t="str">
        <f t="shared" si="33"/>
        <v/>
      </c>
      <c r="Y65" s="144" t="str">
        <f t="shared" si="34"/>
        <v/>
      </c>
      <c r="Z65" s="144" t="str">
        <f t="shared" si="35"/>
        <v/>
      </c>
      <c r="AA65" s="144" t="str">
        <f t="shared" si="36"/>
        <v/>
      </c>
      <c r="AB65" s="144" t="str">
        <f t="shared" si="37"/>
        <v/>
      </c>
      <c r="AC65" s="144" t="str">
        <f t="shared" si="38"/>
        <v/>
      </c>
      <c r="AD65" s="144" t="str">
        <f t="shared" si="39"/>
        <v/>
      </c>
      <c r="AE65" s="144" t="str">
        <f t="shared" si="40"/>
        <v/>
      </c>
      <c r="AF65" s="144" t="str">
        <f t="shared" si="41"/>
        <v/>
      </c>
      <c r="AG65" s="144" t="str">
        <f t="shared" si="42"/>
        <v/>
      </c>
      <c r="AH65" s="144" t="str">
        <f t="shared" si="43"/>
        <v/>
      </c>
      <c r="AI65" s="144" t="str">
        <f t="shared" si="44"/>
        <v/>
      </c>
      <c r="AJ65" s="144" t="str">
        <f t="shared" si="45"/>
        <v/>
      </c>
      <c r="AK65" s="144" t="str">
        <f t="shared" si="46"/>
        <v/>
      </c>
      <c r="AL65" s="144" t="str">
        <f t="shared" si="47"/>
        <v/>
      </c>
      <c r="AM65" s="144" t="str">
        <f t="shared" si="48"/>
        <v/>
      </c>
      <c r="AN65" s="144" t="str">
        <f t="shared" si="49"/>
        <v/>
      </c>
      <c r="AO65" s="144" t="str">
        <f t="shared" si="50"/>
        <v/>
      </c>
      <c r="AP65" s="144" t="str">
        <f t="shared" si="51"/>
        <v/>
      </c>
      <c r="AQ65" s="144" t="str">
        <f t="shared" si="52"/>
        <v/>
      </c>
      <c r="AR65" s="144" t="str">
        <f t="shared" si="53"/>
        <v/>
      </c>
      <c r="AS65" s="144" t="str">
        <f t="shared" si="54"/>
        <v/>
      </c>
      <c r="AT65" s="144" t="str">
        <f t="shared" si="55"/>
        <v/>
      </c>
      <c r="AU65" s="144" t="str">
        <f t="shared" si="56"/>
        <v/>
      </c>
      <c r="AV65" s="144" t="str">
        <f t="shared" si="57"/>
        <v/>
      </c>
      <c r="AW65" s="144" t="str">
        <f t="shared" si="58"/>
        <v/>
      </c>
      <c r="AX65" s="144" t="str">
        <f t="shared" si="59"/>
        <v/>
      </c>
      <c r="AY65" s="10"/>
      <c r="AZ65" s="10"/>
    </row>
    <row r="66" spans="12:52" ht="16.5" hidden="1" customHeight="1" x14ac:dyDescent="0.35">
      <c r="L66" s="6"/>
      <c r="M66" s="5"/>
      <c r="N66" s="5"/>
      <c r="O66" s="51">
        <f t="shared" si="61"/>
        <v>46</v>
      </c>
      <c r="P66" s="144" t="str">
        <f t="shared" si="62"/>
        <v/>
      </c>
      <c r="Q66" s="144" t="str">
        <f t="shared" si="26"/>
        <v/>
      </c>
      <c r="R66" s="144" t="str">
        <f t="shared" si="27"/>
        <v/>
      </c>
      <c r="S66" s="144" t="str">
        <f t="shared" si="28"/>
        <v/>
      </c>
      <c r="T66" s="144" t="str">
        <f t="shared" si="29"/>
        <v/>
      </c>
      <c r="U66" s="144" t="str">
        <f t="shared" si="30"/>
        <v/>
      </c>
      <c r="V66" s="144" t="str">
        <f t="shared" si="31"/>
        <v/>
      </c>
      <c r="W66" s="144" t="str">
        <f t="shared" si="32"/>
        <v/>
      </c>
      <c r="X66" s="144" t="str">
        <f t="shared" si="33"/>
        <v/>
      </c>
      <c r="Y66" s="144" t="str">
        <f t="shared" si="34"/>
        <v/>
      </c>
      <c r="Z66" s="144" t="str">
        <f t="shared" si="35"/>
        <v/>
      </c>
      <c r="AA66" s="144" t="str">
        <f t="shared" si="36"/>
        <v/>
      </c>
      <c r="AB66" s="144" t="str">
        <f t="shared" si="37"/>
        <v/>
      </c>
      <c r="AC66" s="144" t="str">
        <f t="shared" si="38"/>
        <v/>
      </c>
      <c r="AD66" s="144" t="str">
        <f t="shared" si="39"/>
        <v/>
      </c>
      <c r="AE66" s="144" t="str">
        <f t="shared" si="40"/>
        <v/>
      </c>
      <c r="AF66" s="144" t="str">
        <f t="shared" si="41"/>
        <v/>
      </c>
      <c r="AG66" s="144" t="str">
        <f t="shared" si="42"/>
        <v/>
      </c>
      <c r="AH66" s="144" t="str">
        <f t="shared" si="43"/>
        <v/>
      </c>
      <c r="AI66" s="144" t="str">
        <f t="shared" si="44"/>
        <v/>
      </c>
      <c r="AJ66" s="144" t="str">
        <f t="shared" si="45"/>
        <v/>
      </c>
      <c r="AK66" s="144" t="str">
        <f t="shared" si="46"/>
        <v/>
      </c>
      <c r="AL66" s="144" t="str">
        <f t="shared" si="47"/>
        <v/>
      </c>
      <c r="AM66" s="144" t="str">
        <f t="shared" si="48"/>
        <v/>
      </c>
      <c r="AN66" s="144" t="str">
        <f t="shared" si="49"/>
        <v/>
      </c>
      <c r="AO66" s="144" t="str">
        <f t="shared" si="50"/>
        <v/>
      </c>
      <c r="AP66" s="144" t="str">
        <f t="shared" si="51"/>
        <v/>
      </c>
      <c r="AQ66" s="144" t="str">
        <f t="shared" si="52"/>
        <v/>
      </c>
      <c r="AR66" s="144" t="str">
        <f t="shared" si="53"/>
        <v/>
      </c>
      <c r="AS66" s="144" t="str">
        <f t="shared" si="54"/>
        <v/>
      </c>
      <c r="AT66" s="144" t="str">
        <f t="shared" si="55"/>
        <v/>
      </c>
      <c r="AU66" s="144" t="str">
        <f t="shared" si="56"/>
        <v/>
      </c>
      <c r="AV66" s="144" t="str">
        <f t="shared" si="57"/>
        <v/>
      </c>
      <c r="AW66" s="144" t="str">
        <f t="shared" si="58"/>
        <v/>
      </c>
      <c r="AX66" s="144" t="str">
        <f t="shared" si="59"/>
        <v/>
      </c>
      <c r="AY66" s="10"/>
      <c r="AZ66" s="10"/>
    </row>
    <row r="67" spans="12:52" ht="16.5" hidden="1" customHeight="1" x14ac:dyDescent="0.35">
      <c r="L67" s="6"/>
      <c r="M67" s="5"/>
      <c r="N67" s="5"/>
      <c r="O67" s="51">
        <f t="shared" si="61"/>
        <v>44</v>
      </c>
      <c r="P67" s="144" t="str">
        <f t="shared" si="62"/>
        <v/>
      </c>
      <c r="Q67" s="144" t="str">
        <f t="shared" si="26"/>
        <v/>
      </c>
      <c r="R67" s="144" t="str">
        <f t="shared" si="27"/>
        <v/>
      </c>
      <c r="S67" s="144" t="str">
        <f t="shared" si="28"/>
        <v/>
      </c>
      <c r="T67" s="144" t="str">
        <f t="shared" si="29"/>
        <v/>
      </c>
      <c r="U67" s="144" t="str">
        <f t="shared" si="30"/>
        <v/>
      </c>
      <c r="V67" s="144" t="str">
        <f t="shared" si="31"/>
        <v/>
      </c>
      <c r="W67" s="144" t="str">
        <f t="shared" si="32"/>
        <v/>
      </c>
      <c r="X67" s="144" t="str">
        <f t="shared" si="33"/>
        <v/>
      </c>
      <c r="Y67" s="144" t="str">
        <f t="shared" si="34"/>
        <v/>
      </c>
      <c r="Z67" s="144" t="str">
        <f t="shared" si="35"/>
        <v/>
      </c>
      <c r="AA67" s="144" t="str">
        <f t="shared" si="36"/>
        <v/>
      </c>
      <c r="AB67" s="144" t="str">
        <f t="shared" si="37"/>
        <v/>
      </c>
      <c r="AC67" s="144" t="str">
        <f t="shared" si="38"/>
        <v/>
      </c>
      <c r="AD67" s="144" t="str">
        <f t="shared" si="39"/>
        <v/>
      </c>
      <c r="AE67" s="144" t="str">
        <f t="shared" si="40"/>
        <v/>
      </c>
      <c r="AF67" s="144" t="str">
        <f t="shared" si="41"/>
        <v/>
      </c>
      <c r="AG67" s="144" t="str">
        <f t="shared" si="42"/>
        <v/>
      </c>
      <c r="AH67" s="144" t="str">
        <f t="shared" si="43"/>
        <v/>
      </c>
      <c r="AI67" s="144" t="str">
        <f t="shared" si="44"/>
        <v/>
      </c>
      <c r="AJ67" s="144" t="str">
        <f t="shared" si="45"/>
        <v/>
      </c>
      <c r="AK67" s="144" t="str">
        <f t="shared" si="46"/>
        <v/>
      </c>
      <c r="AL67" s="144" t="str">
        <f t="shared" si="47"/>
        <v/>
      </c>
      <c r="AM67" s="144" t="str">
        <f t="shared" si="48"/>
        <v/>
      </c>
      <c r="AN67" s="144" t="str">
        <f t="shared" si="49"/>
        <v/>
      </c>
      <c r="AO67" s="144" t="str">
        <f t="shared" si="50"/>
        <v/>
      </c>
      <c r="AP67" s="144" t="str">
        <f t="shared" si="51"/>
        <v/>
      </c>
      <c r="AQ67" s="144" t="str">
        <f t="shared" si="52"/>
        <v/>
      </c>
      <c r="AR67" s="144" t="str">
        <f t="shared" si="53"/>
        <v/>
      </c>
      <c r="AS67" s="144" t="str">
        <f t="shared" si="54"/>
        <v/>
      </c>
      <c r="AT67" s="144" t="str">
        <f t="shared" si="55"/>
        <v/>
      </c>
      <c r="AU67" s="144" t="str">
        <f t="shared" si="56"/>
        <v/>
      </c>
      <c r="AV67" s="144" t="str">
        <f t="shared" si="57"/>
        <v/>
      </c>
      <c r="AW67" s="144" t="str">
        <f t="shared" si="58"/>
        <v/>
      </c>
      <c r="AX67" s="144" t="str">
        <f t="shared" si="59"/>
        <v/>
      </c>
      <c r="AY67" s="10"/>
      <c r="AZ67" s="10"/>
    </row>
    <row r="68" spans="12:52" ht="16.5" hidden="1" customHeight="1" x14ac:dyDescent="0.35">
      <c r="L68" s="6"/>
      <c r="M68" s="5"/>
      <c r="N68" s="5"/>
      <c r="O68" s="51">
        <f t="shared" si="61"/>
        <v>42</v>
      </c>
      <c r="P68" s="144" t="str">
        <f t="shared" si="62"/>
        <v/>
      </c>
      <c r="Q68" s="144" t="str">
        <f t="shared" si="26"/>
        <v/>
      </c>
      <c r="R68" s="144" t="str">
        <f t="shared" si="27"/>
        <v/>
      </c>
      <c r="S68" s="144" t="str">
        <f t="shared" si="28"/>
        <v/>
      </c>
      <c r="T68" s="144" t="str">
        <f t="shared" si="29"/>
        <v/>
      </c>
      <c r="U68" s="144" t="str">
        <f t="shared" si="30"/>
        <v/>
      </c>
      <c r="V68" s="144" t="str">
        <f t="shared" si="31"/>
        <v/>
      </c>
      <c r="W68" s="144" t="str">
        <f t="shared" si="32"/>
        <v/>
      </c>
      <c r="X68" s="144" t="str">
        <f t="shared" si="33"/>
        <v/>
      </c>
      <c r="Y68" s="144" t="str">
        <f t="shared" si="34"/>
        <v/>
      </c>
      <c r="Z68" s="144" t="str">
        <f t="shared" si="35"/>
        <v/>
      </c>
      <c r="AA68" s="144" t="str">
        <f t="shared" si="36"/>
        <v/>
      </c>
      <c r="AB68" s="144" t="str">
        <f t="shared" si="37"/>
        <v/>
      </c>
      <c r="AC68" s="144" t="str">
        <f t="shared" si="38"/>
        <v/>
      </c>
      <c r="AD68" s="144" t="str">
        <f t="shared" si="39"/>
        <v/>
      </c>
      <c r="AE68" s="144" t="str">
        <f t="shared" si="40"/>
        <v/>
      </c>
      <c r="AF68" s="144" t="str">
        <f t="shared" si="41"/>
        <v/>
      </c>
      <c r="AG68" s="144" t="str">
        <f t="shared" si="42"/>
        <v/>
      </c>
      <c r="AH68" s="144" t="str">
        <f t="shared" si="43"/>
        <v/>
      </c>
      <c r="AI68" s="144" t="str">
        <f t="shared" si="44"/>
        <v/>
      </c>
      <c r="AJ68" s="144" t="str">
        <f t="shared" si="45"/>
        <v/>
      </c>
      <c r="AK68" s="144" t="str">
        <f t="shared" si="46"/>
        <v/>
      </c>
      <c r="AL68" s="144" t="str">
        <f t="shared" si="47"/>
        <v/>
      </c>
      <c r="AM68" s="144" t="str">
        <f t="shared" si="48"/>
        <v/>
      </c>
      <c r="AN68" s="144" t="str">
        <f t="shared" si="49"/>
        <v/>
      </c>
      <c r="AO68" s="144" t="str">
        <f t="shared" si="50"/>
        <v/>
      </c>
      <c r="AP68" s="144" t="str">
        <f t="shared" si="51"/>
        <v/>
      </c>
      <c r="AQ68" s="144" t="str">
        <f t="shared" si="52"/>
        <v/>
      </c>
      <c r="AR68" s="144" t="str">
        <f t="shared" si="53"/>
        <v/>
      </c>
      <c r="AS68" s="144" t="str">
        <f t="shared" si="54"/>
        <v/>
      </c>
      <c r="AT68" s="144" t="str">
        <f t="shared" si="55"/>
        <v/>
      </c>
      <c r="AU68" s="144" t="str">
        <f t="shared" si="56"/>
        <v/>
      </c>
      <c r="AV68" s="144" t="str">
        <f t="shared" si="57"/>
        <v/>
      </c>
      <c r="AW68" s="144" t="str">
        <f t="shared" si="58"/>
        <v/>
      </c>
      <c r="AX68" s="144" t="str">
        <f t="shared" si="59"/>
        <v/>
      </c>
      <c r="AY68" s="10"/>
      <c r="AZ68" s="10"/>
    </row>
    <row r="69" spans="12:52" ht="16.5" hidden="1" customHeight="1" x14ac:dyDescent="0.35">
      <c r="L69" s="6"/>
      <c r="M69" s="5"/>
      <c r="N69" s="5"/>
      <c r="O69" s="51">
        <f t="shared" si="61"/>
        <v>40</v>
      </c>
      <c r="P69" s="144" t="str">
        <f t="shared" si="62"/>
        <v/>
      </c>
      <c r="Q69" s="144" t="str">
        <f t="shared" si="26"/>
        <v/>
      </c>
      <c r="R69" s="144" t="str">
        <f t="shared" si="27"/>
        <v/>
      </c>
      <c r="S69" s="144" t="str">
        <f t="shared" si="28"/>
        <v/>
      </c>
      <c r="T69" s="144" t="str">
        <f t="shared" si="29"/>
        <v/>
      </c>
      <c r="U69" s="144" t="str">
        <f t="shared" si="30"/>
        <v/>
      </c>
      <c r="V69" s="144" t="str">
        <f t="shared" si="31"/>
        <v/>
      </c>
      <c r="W69" s="144" t="str">
        <f t="shared" si="32"/>
        <v/>
      </c>
      <c r="X69" s="144" t="str">
        <f t="shared" si="33"/>
        <v/>
      </c>
      <c r="Y69" s="144" t="str">
        <f t="shared" si="34"/>
        <v/>
      </c>
      <c r="Z69" s="144" t="str">
        <f t="shared" si="35"/>
        <v/>
      </c>
      <c r="AA69" s="144" t="str">
        <f t="shared" si="36"/>
        <v/>
      </c>
      <c r="AB69" s="144" t="str">
        <f t="shared" si="37"/>
        <v/>
      </c>
      <c r="AC69" s="144" t="str">
        <f t="shared" si="38"/>
        <v/>
      </c>
      <c r="AD69" s="144" t="str">
        <f t="shared" si="39"/>
        <v/>
      </c>
      <c r="AE69" s="144" t="str">
        <f t="shared" si="40"/>
        <v/>
      </c>
      <c r="AF69" s="144" t="str">
        <f t="shared" si="41"/>
        <v/>
      </c>
      <c r="AG69" s="144" t="str">
        <f t="shared" si="42"/>
        <v/>
      </c>
      <c r="AH69" s="144" t="str">
        <f t="shared" si="43"/>
        <v/>
      </c>
      <c r="AI69" s="144" t="str">
        <f t="shared" si="44"/>
        <v/>
      </c>
      <c r="AJ69" s="144" t="str">
        <f t="shared" si="45"/>
        <v/>
      </c>
      <c r="AK69" s="144" t="str">
        <f t="shared" si="46"/>
        <v/>
      </c>
      <c r="AL69" s="144" t="str">
        <f t="shared" si="47"/>
        <v/>
      </c>
      <c r="AM69" s="144" t="str">
        <f t="shared" si="48"/>
        <v/>
      </c>
      <c r="AN69" s="144" t="str">
        <f t="shared" si="49"/>
        <v/>
      </c>
      <c r="AO69" s="144" t="str">
        <f t="shared" si="50"/>
        <v/>
      </c>
      <c r="AP69" s="144" t="str">
        <f t="shared" si="51"/>
        <v/>
      </c>
      <c r="AQ69" s="144" t="str">
        <f t="shared" si="52"/>
        <v/>
      </c>
      <c r="AR69" s="144" t="str">
        <f t="shared" si="53"/>
        <v/>
      </c>
      <c r="AS69" s="144" t="str">
        <f t="shared" si="54"/>
        <v/>
      </c>
      <c r="AT69" s="144" t="str">
        <f t="shared" si="55"/>
        <v/>
      </c>
      <c r="AU69" s="144" t="str">
        <f t="shared" si="56"/>
        <v/>
      </c>
      <c r="AV69" s="144" t="str">
        <f t="shared" si="57"/>
        <v/>
      </c>
      <c r="AW69" s="144" t="str">
        <f t="shared" si="58"/>
        <v/>
      </c>
      <c r="AX69" s="144" t="str">
        <f t="shared" si="59"/>
        <v/>
      </c>
      <c r="AY69" s="10"/>
      <c r="AZ69" s="10"/>
    </row>
    <row r="70" spans="12:52" ht="16.5" hidden="1" customHeight="1" x14ac:dyDescent="0.35">
      <c r="L70" s="6"/>
      <c r="M70" s="5"/>
      <c r="N70" s="5"/>
      <c r="O70" s="51">
        <f t="shared" si="61"/>
        <v>38</v>
      </c>
      <c r="P70" s="144" t="str">
        <f t="shared" si="62"/>
        <v/>
      </c>
      <c r="Q70" s="144" t="str">
        <f t="shared" si="26"/>
        <v/>
      </c>
      <c r="R70" s="144" t="str">
        <f t="shared" si="27"/>
        <v/>
      </c>
      <c r="S70" s="144" t="str">
        <f t="shared" si="28"/>
        <v/>
      </c>
      <c r="T70" s="144" t="str">
        <f t="shared" si="29"/>
        <v/>
      </c>
      <c r="U70" s="144" t="str">
        <f t="shared" si="30"/>
        <v/>
      </c>
      <c r="V70" s="144" t="str">
        <f t="shared" si="31"/>
        <v/>
      </c>
      <c r="W70" s="144" t="str">
        <f t="shared" si="32"/>
        <v/>
      </c>
      <c r="X70" s="144" t="str">
        <f t="shared" si="33"/>
        <v/>
      </c>
      <c r="Y70" s="144" t="str">
        <f t="shared" si="34"/>
        <v/>
      </c>
      <c r="Z70" s="144" t="str">
        <f t="shared" si="35"/>
        <v/>
      </c>
      <c r="AA70" s="144" t="str">
        <f t="shared" si="36"/>
        <v/>
      </c>
      <c r="AB70" s="144" t="str">
        <f t="shared" si="37"/>
        <v/>
      </c>
      <c r="AC70" s="144" t="str">
        <f t="shared" si="38"/>
        <v/>
      </c>
      <c r="AD70" s="144" t="str">
        <f t="shared" si="39"/>
        <v/>
      </c>
      <c r="AE70" s="144" t="str">
        <f t="shared" si="40"/>
        <v/>
      </c>
      <c r="AF70" s="144" t="str">
        <f t="shared" si="41"/>
        <v/>
      </c>
      <c r="AG70" s="144" t="str">
        <f t="shared" si="42"/>
        <v/>
      </c>
      <c r="AH70" s="144" t="str">
        <f t="shared" si="43"/>
        <v/>
      </c>
      <c r="AI70" s="144" t="str">
        <f t="shared" si="44"/>
        <v/>
      </c>
      <c r="AJ70" s="144" t="str">
        <f t="shared" si="45"/>
        <v/>
      </c>
      <c r="AK70" s="144" t="str">
        <f t="shared" si="46"/>
        <v/>
      </c>
      <c r="AL70" s="144" t="str">
        <f t="shared" si="47"/>
        <v/>
      </c>
      <c r="AM70" s="144" t="str">
        <f t="shared" si="48"/>
        <v/>
      </c>
      <c r="AN70" s="144" t="str">
        <f t="shared" si="49"/>
        <v/>
      </c>
      <c r="AO70" s="144" t="str">
        <f t="shared" si="50"/>
        <v/>
      </c>
      <c r="AP70" s="144" t="str">
        <f t="shared" si="51"/>
        <v/>
      </c>
      <c r="AQ70" s="144" t="str">
        <f t="shared" si="52"/>
        <v/>
      </c>
      <c r="AR70" s="144" t="str">
        <f t="shared" si="53"/>
        <v/>
      </c>
      <c r="AS70" s="144" t="str">
        <f t="shared" si="54"/>
        <v/>
      </c>
      <c r="AT70" s="144" t="str">
        <f t="shared" si="55"/>
        <v/>
      </c>
      <c r="AU70" s="144" t="str">
        <f t="shared" si="56"/>
        <v/>
      </c>
      <c r="AV70" s="144" t="str">
        <f t="shared" si="57"/>
        <v/>
      </c>
      <c r="AW70" s="144" t="str">
        <f t="shared" si="58"/>
        <v/>
      </c>
      <c r="AX70" s="144" t="str">
        <f t="shared" si="59"/>
        <v/>
      </c>
      <c r="AY70" s="10"/>
      <c r="AZ70" s="10"/>
    </row>
    <row r="71" spans="12:52" ht="16.5" hidden="1" customHeight="1" x14ac:dyDescent="0.35">
      <c r="L71" s="6"/>
      <c r="M71" s="5"/>
      <c r="N71" s="5"/>
      <c r="O71" s="51">
        <f t="shared" si="61"/>
        <v>36</v>
      </c>
      <c r="P71" s="144" t="str">
        <f t="shared" si="62"/>
        <v/>
      </c>
      <c r="Q71" s="144" t="str">
        <f t="shared" si="26"/>
        <v/>
      </c>
      <c r="R71" s="144" t="str">
        <f t="shared" si="27"/>
        <v/>
      </c>
      <c r="S71" s="144" t="str">
        <f t="shared" si="28"/>
        <v/>
      </c>
      <c r="T71" s="144" t="str">
        <f t="shared" si="29"/>
        <v/>
      </c>
      <c r="U71" s="144" t="str">
        <f t="shared" si="30"/>
        <v/>
      </c>
      <c r="V71" s="144" t="str">
        <f t="shared" si="31"/>
        <v/>
      </c>
      <c r="W71" s="144" t="str">
        <f t="shared" si="32"/>
        <v/>
      </c>
      <c r="X71" s="144" t="str">
        <f t="shared" si="33"/>
        <v/>
      </c>
      <c r="Y71" s="144" t="str">
        <f t="shared" si="34"/>
        <v/>
      </c>
      <c r="Z71" s="144" t="str">
        <f t="shared" si="35"/>
        <v/>
      </c>
      <c r="AA71" s="144" t="str">
        <f t="shared" si="36"/>
        <v/>
      </c>
      <c r="AB71" s="144" t="str">
        <f t="shared" si="37"/>
        <v/>
      </c>
      <c r="AC71" s="144" t="str">
        <f t="shared" si="38"/>
        <v/>
      </c>
      <c r="AD71" s="144" t="str">
        <f t="shared" si="39"/>
        <v/>
      </c>
      <c r="AE71" s="144" t="str">
        <f t="shared" si="40"/>
        <v/>
      </c>
      <c r="AF71" s="144" t="str">
        <f t="shared" si="41"/>
        <v/>
      </c>
      <c r="AG71" s="144" t="str">
        <f t="shared" si="42"/>
        <v/>
      </c>
      <c r="AH71" s="144" t="str">
        <f t="shared" si="43"/>
        <v/>
      </c>
      <c r="AI71" s="144" t="str">
        <f t="shared" si="44"/>
        <v/>
      </c>
      <c r="AJ71" s="144" t="str">
        <f t="shared" si="45"/>
        <v/>
      </c>
      <c r="AK71" s="144" t="str">
        <f t="shared" si="46"/>
        <v/>
      </c>
      <c r="AL71" s="144" t="str">
        <f t="shared" si="47"/>
        <v/>
      </c>
      <c r="AM71" s="144" t="str">
        <f t="shared" si="48"/>
        <v/>
      </c>
      <c r="AN71" s="144" t="str">
        <f t="shared" si="49"/>
        <v/>
      </c>
      <c r="AO71" s="144" t="str">
        <f t="shared" si="50"/>
        <v/>
      </c>
      <c r="AP71" s="144" t="str">
        <f t="shared" si="51"/>
        <v/>
      </c>
      <c r="AQ71" s="144" t="str">
        <f t="shared" si="52"/>
        <v/>
      </c>
      <c r="AR71" s="144" t="str">
        <f t="shared" si="53"/>
        <v/>
      </c>
      <c r="AS71" s="144" t="str">
        <f t="shared" si="54"/>
        <v/>
      </c>
      <c r="AT71" s="144" t="str">
        <f t="shared" si="55"/>
        <v/>
      </c>
      <c r="AU71" s="144" t="str">
        <f t="shared" si="56"/>
        <v/>
      </c>
      <c r="AV71" s="144" t="str">
        <f t="shared" si="57"/>
        <v/>
      </c>
      <c r="AW71" s="144" t="str">
        <f t="shared" si="58"/>
        <v/>
      </c>
      <c r="AX71" s="144" t="str">
        <f t="shared" si="59"/>
        <v/>
      </c>
      <c r="AY71" s="10"/>
      <c r="AZ71" s="10"/>
    </row>
    <row r="72" spans="12:52" ht="16.5" hidden="1" customHeight="1" x14ac:dyDescent="0.35">
      <c r="L72" s="6"/>
      <c r="M72" s="5"/>
      <c r="N72" s="5"/>
      <c r="O72" s="51">
        <f t="shared" si="61"/>
        <v>34</v>
      </c>
      <c r="P72" s="144" t="str">
        <f t="shared" si="62"/>
        <v/>
      </c>
      <c r="Q72" s="144" t="str">
        <f t="shared" si="26"/>
        <v/>
      </c>
      <c r="R72" s="144" t="str">
        <f t="shared" si="27"/>
        <v/>
      </c>
      <c r="S72" s="144" t="str">
        <f t="shared" si="28"/>
        <v/>
      </c>
      <c r="T72" s="144" t="str">
        <f t="shared" si="29"/>
        <v/>
      </c>
      <c r="U72" s="144" t="str">
        <f t="shared" si="30"/>
        <v/>
      </c>
      <c r="V72" s="144" t="str">
        <f t="shared" si="31"/>
        <v/>
      </c>
      <c r="W72" s="144" t="str">
        <f t="shared" si="32"/>
        <v/>
      </c>
      <c r="X72" s="144" t="str">
        <f t="shared" si="33"/>
        <v/>
      </c>
      <c r="Y72" s="144" t="str">
        <f t="shared" si="34"/>
        <v/>
      </c>
      <c r="Z72" s="144" t="str">
        <f t="shared" si="35"/>
        <v/>
      </c>
      <c r="AA72" s="144" t="str">
        <f t="shared" si="36"/>
        <v/>
      </c>
      <c r="AB72" s="144" t="str">
        <f t="shared" si="37"/>
        <v/>
      </c>
      <c r="AC72" s="144" t="str">
        <f t="shared" si="38"/>
        <v/>
      </c>
      <c r="AD72" s="144" t="str">
        <f t="shared" si="39"/>
        <v/>
      </c>
      <c r="AE72" s="144" t="str">
        <f t="shared" si="40"/>
        <v/>
      </c>
      <c r="AF72" s="144" t="str">
        <f t="shared" si="41"/>
        <v/>
      </c>
      <c r="AG72" s="144" t="str">
        <f t="shared" si="42"/>
        <v/>
      </c>
      <c r="AH72" s="144" t="str">
        <f t="shared" si="43"/>
        <v/>
      </c>
      <c r="AI72" s="144" t="str">
        <f t="shared" si="44"/>
        <v/>
      </c>
      <c r="AJ72" s="144" t="str">
        <f t="shared" si="45"/>
        <v/>
      </c>
      <c r="AK72" s="144" t="str">
        <f t="shared" si="46"/>
        <v/>
      </c>
      <c r="AL72" s="144" t="str">
        <f t="shared" si="47"/>
        <v/>
      </c>
      <c r="AM72" s="144" t="str">
        <f t="shared" si="48"/>
        <v/>
      </c>
      <c r="AN72" s="144" t="str">
        <f t="shared" si="49"/>
        <v/>
      </c>
      <c r="AO72" s="144" t="str">
        <f t="shared" si="50"/>
        <v/>
      </c>
      <c r="AP72" s="144" t="str">
        <f t="shared" si="51"/>
        <v/>
      </c>
      <c r="AQ72" s="144" t="str">
        <f t="shared" si="52"/>
        <v/>
      </c>
      <c r="AR72" s="144" t="str">
        <f t="shared" si="53"/>
        <v/>
      </c>
      <c r="AS72" s="144" t="str">
        <f t="shared" si="54"/>
        <v/>
      </c>
      <c r="AT72" s="144" t="str">
        <f t="shared" si="55"/>
        <v/>
      </c>
      <c r="AU72" s="144" t="str">
        <f t="shared" si="56"/>
        <v/>
      </c>
      <c r="AV72" s="144" t="str">
        <f t="shared" si="57"/>
        <v/>
      </c>
      <c r="AW72" s="144" t="str">
        <f t="shared" si="58"/>
        <v/>
      </c>
      <c r="AX72" s="144" t="str">
        <f t="shared" si="59"/>
        <v/>
      </c>
      <c r="AY72" s="10"/>
      <c r="AZ72" s="10"/>
    </row>
    <row r="73" spans="12:52" ht="16.5" customHeight="1" x14ac:dyDescent="0.35">
      <c r="L73" s="6"/>
      <c r="M73" s="5"/>
      <c r="N73" s="5"/>
      <c r="O73" s="51">
        <f t="shared" si="61"/>
        <v>32</v>
      </c>
      <c r="P73" s="144" t="str">
        <f t="shared" si="62"/>
        <v/>
      </c>
      <c r="Q73" s="144" t="str">
        <f t="shared" si="26"/>
        <v/>
      </c>
      <c r="R73" s="144" t="str">
        <f t="shared" si="27"/>
        <v/>
      </c>
      <c r="S73" s="144" t="str">
        <f t="shared" si="28"/>
        <v/>
      </c>
      <c r="T73" s="144" t="str">
        <f t="shared" si="29"/>
        <v/>
      </c>
      <c r="U73" s="144" t="str">
        <f t="shared" si="30"/>
        <v/>
      </c>
      <c r="V73" s="144" t="str">
        <f t="shared" si="31"/>
        <v/>
      </c>
      <c r="W73" s="144" t="str">
        <f t="shared" si="32"/>
        <v/>
      </c>
      <c r="X73" s="144" t="str">
        <f t="shared" si="33"/>
        <v/>
      </c>
      <c r="Y73" s="144" t="str">
        <f t="shared" si="34"/>
        <v/>
      </c>
      <c r="Z73" s="144" t="str">
        <f t="shared" si="35"/>
        <v/>
      </c>
      <c r="AA73" s="144" t="str">
        <f t="shared" si="36"/>
        <v/>
      </c>
      <c r="AB73" s="144" t="str">
        <f t="shared" si="37"/>
        <v/>
      </c>
      <c r="AC73" s="144" t="str">
        <f t="shared" si="38"/>
        <v/>
      </c>
      <c r="AD73" s="144" t="str">
        <f t="shared" si="39"/>
        <v/>
      </c>
      <c r="AE73" s="144" t="str">
        <f t="shared" si="40"/>
        <v/>
      </c>
      <c r="AF73" s="144" t="str">
        <f t="shared" si="41"/>
        <v/>
      </c>
      <c r="AG73" s="144" t="str">
        <f t="shared" si="42"/>
        <v/>
      </c>
      <c r="AH73" s="144" t="str">
        <f t="shared" si="43"/>
        <v/>
      </c>
      <c r="AI73" s="144" t="str">
        <f t="shared" si="44"/>
        <v/>
      </c>
      <c r="AJ73" s="144" t="str">
        <f t="shared" si="45"/>
        <v/>
      </c>
      <c r="AK73" s="144" t="str">
        <f t="shared" si="46"/>
        <v/>
      </c>
      <c r="AL73" s="144" t="str">
        <f t="shared" si="47"/>
        <v/>
      </c>
      <c r="AM73" s="144" t="str">
        <f t="shared" si="48"/>
        <v/>
      </c>
      <c r="AN73" s="144" t="str">
        <f t="shared" si="49"/>
        <v/>
      </c>
      <c r="AO73" s="144" t="str">
        <f t="shared" si="50"/>
        <v/>
      </c>
      <c r="AP73" s="144" t="str">
        <f t="shared" si="51"/>
        <v/>
      </c>
      <c r="AQ73" s="144" t="str">
        <f t="shared" si="52"/>
        <v/>
      </c>
      <c r="AR73" s="144" t="str">
        <f t="shared" si="53"/>
        <v/>
      </c>
      <c r="AS73" s="144" t="str">
        <f t="shared" si="54"/>
        <v/>
      </c>
      <c r="AT73" s="144" t="str">
        <f t="shared" si="55"/>
        <v/>
      </c>
      <c r="AU73" s="144" t="str">
        <f t="shared" si="56"/>
        <v/>
      </c>
      <c r="AV73" s="144" t="str">
        <f t="shared" si="57"/>
        <v/>
      </c>
      <c r="AW73" s="144" t="str">
        <f t="shared" si="58"/>
        <v/>
      </c>
      <c r="AX73" s="144" t="str">
        <f t="shared" si="59"/>
        <v/>
      </c>
      <c r="AY73" s="10"/>
      <c r="AZ73" s="10"/>
    </row>
    <row r="74" spans="12:52" ht="16.5" customHeight="1" x14ac:dyDescent="0.35">
      <c r="L74" s="6"/>
      <c r="M74" s="5"/>
      <c r="N74" s="5"/>
      <c r="O74" s="51">
        <f t="shared" si="61"/>
        <v>30</v>
      </c>
      <c r="P74" s="144" t="str">
        <f t="shared" si="62"/>
        <v/>
      </c>
      <c r="Q74" s="144" t="str">
        <f t="shared" si="26"/>
        <v/>
      </c>
      <c r="R74" s="144" t="str">
        <f t="shared" si="27"/>
        <v/>
      </c>
      <c r="S74" s="144" t="str">
        <f t="shared" si="28"/>
        <v/>
      </c>
      <c r="T74" s="144" t="str">
        <f t="shared" si="29"/>
        <v/>
      </c>
      <c r="U74" s="144" t="str">
        <f t="shared" si="30"/>
        <v/>
      </c>
      <c r="V74" s="144" t="str">
        <f t="shared" si="31"/>
        <v/>
      </c>
      <c r="W74" s="144" t="str">
        <f t="shared" si="32"/>
        <v/>
      </c>
      <c r="X74" s="144" t="str">
        <f t="shared" si="33"/>
        <v/>
      </c>
      <c r="Y74" s="144" t="str">
        <f t="shared" si="34"/>
        <v/>
      </c>
      <c r="Z74" s="144" t="str">
        <f t="shared" si="35"/>
        <v/>
      </c>
      <c r="AA74" s="144" t="str">
        <f t="shared" si="36"/>
        <v/>
      </c>
      <c r="AB74" s="144" t="str">
        <f t="shared" si="37"/>
        <v/>
      </c>
      <c r="AC74" s="144" t="str">
        <f t="shared" si="38"/>
        <v/>
      </c>
      <c r="AD74" s="144" t="str">
        <f t="shared" si="39"/>
        <v/>
      </c>
      <c r="AE74" s="144" t="str">
        <f t="shared" si="40"/>
        <v/>
      </c>
      <c r="AF74" s="144" t="str">
        <f t="shared" si="41"/>
        <v/>
      </c>
      <c r="AG74" s="144" t="str">
        <f t="shared" si="42"/>
        <v/>
      </c>
      <c r="AH74" s="144" t="str">
        <f t="shared" si="43"/>
        <v/>
      </c>
      <c r="AI74" s="144" t="str">
        <f t="shared" si="44"/>
        <v/>
      </c>
      <c r="AJ74" s="144" t="str">
        <f t="shared" si="45"/>
        <v/>
      </c>
      <c r="AK74" s="144" t="str">
        <f t="shared" si="46"/>
        <v/>
      </c>
      <c r="AL74" s="144" t="str">
        <f t="shared" si="47"/>
        <v/>
      </c>
      <c r="AM74" s="144" t="str">
        <f t="shared" si="48"/>
        <v/>
      </c>
      <c r="AN74" s="144" t="str">
        <f t="shared" si="49"/>
        <v/>
      </c>
      <c r="AO74" s="144" t="str">
        <f t="shared" si="50"/>
        <v/>
      </c>
      <c r="AP74" s="144" t="str">
        <f t="shared" si="51"/>
        <v/>
      </c>
      <c r="AQ74" s="144" t="str">
        <f t="shared" si="52"/>
        <v/>
      </c>
      <c r="AR74" s="144" t="str">
        <f t="shared" si="53"/>
        <v/>
      </c>
      <c r="AS74" s="144" t="str">
        <f t="shared" si="54"/>
        <v/>
      </c>
      <c r="AT74" s="144" t="str">
        <f t="shared" si="55"/>
        <v/>
      </c>
      <c r="AU74" s="144" t="str">
        <f t="shared" si="56"/>
        <v/>
      </c>
      <c r="AV74" s="144" t="str">
        <f t="shared" si="57"/>
        <v/>
      </c>
      <c r="AW74" s="144" t="str">
        <f t="shared" si="58"/>
        <v/>
      </c>
      <c r="AX74" s="144" t="str">
        <f t="shared" si="59"/>
        <v/>
      </c>
      <c r="AY74" s="10"/>
      <c r="AZ74" s="10"/>
    </row>
    <row r="75" spans="12:52" ht="16.5" customHeight="1" x14ac:dyDescent="0.35">
      <c r="L75" s="6"/>
      <c r="M75" s="5"/>
      <c r="N75" s="5"/>
      <c r="O75" s="51">
        <f t="shared" si="61"/>
        <v>28</v>
      </c>
      <c r="P75" s="144" t="str">
        <f t="shared" si="62"/>
        <v/>
      </c>
      <c r="Q75" s="144" t="str">
        <f t="shared" si="26"/>
        <v/>
      </c>
      <c r="R75" s="144" t="str">
        <f t="shared" si="27"/>
        <v/>
      </c>
      <c r="S75" s="144" t="str">
        <f t="shared" si="28"/>
        <v/>
      </c>
      <c r="T75" s="144" t="str">
        <f t="shared" si="29"/>
        <v/>
      </c>
      <c r="U75" s="144" t="str">
        <f t="shared" si="30"/>
        <v/>
      </c>
      <c r="V75" s="144" t="str">
        <f t="shared" si="31"/>
        <v/>
      </c>
      <c r="W75" s="144" t="str">
        <f t="shared" si="32"/>
        <v/>
      </c>
      <c r="X75" s="144" t="str">
        <f t="shared" si="33"/>
        <v/>
      </c>
      <c r="Y75" s="144" t="str">
        <f t="shared" si="34"/>
        <v/>
      </c>
      <c r="Z75" s="144" t="str">
        <f t="shared" si="35"/>
        <v/>
      </c>
      <c r="AA75" s="144" t="str">
        <f t="shared" si="36"/>
        <v/>
      </c>
      <c r="AB75" s="144" t="str">
        <f t="shared" si="37"/>
        <v/>
      </c>
      <c r="AC75" s="144" t="str">
        <f t="shared" si="38"/>
        <v/>
      </c>
      <c r="AD75" s="144" t="str">
        <f t="shared" si="39"/>
        <v/>
      </c>
      <c r="AE75" s="144" t="str">
        <f t="shared" si="40"/>
        <v/>
      </c>
      <c r="AF75" s="144" t="str">
        <f t="shared" si="41"/>
        <v/>
      </c>
      <c r="AG75" s="144" t="str">
        <f t="shared" si="42"/>
        <v/>
      </c>
      <c r="AH75" s="144" t="str">
        <f t="shared" si="43"/>
        <v/>
      </c>
      <c r="AI75" s="144" t="str">
        <f t="shared" si="44"/>
        <v/>
      </c>
      <c r="AJ75" s="144" t="str">
        <f t="shared" si="45"/>
        <v/>
      </c>
      <c r="AK75" s="144" t="str">
        <f t="shared" si="46"/>
        <v/>
      </c>
      <c r="AL75" s="144" t="str">
        <f t="shared" si="47"/>
        <v/>
      </c>
      <c r="AM75" s="144" t="str">
        <f t="shared" si="48"/>
        <v/>
      </c>
      <c r="AN75" s="144" t="str">
        <f t="shared" si="49"/>
        <v/>
      </c>
      <c r="AO75" s="144" t="str">
        <f t="shared" si="50"/>
        <v/>
      </c>
      <c r="AP75" s="144" t="str">
        <f t="shared" si="51"/>
        <v/>
      </c>
      <c r="AQ75" s="144" t="str">
        <f t="shared" si="52"/>
        <v/>
      </c>
      <c r="AR75" s="144" t="str">
        <f t="shared" si="53"/>
        <v/>
      </c>
      <c r="AS75" s="144" t="str">
        <f t="shared" si="54"/>
        <v/>
      </c>
      <c r="AT75" s="144" t="str">
        <f t="shared" si="55"/>
        <v/>
      </c>
      <c r="AU75" s="144" t="str">
        <f t="shared" si="56"/>
        <v/>
      </c>
      <c r="AV75" s="144" t="str">
        <f t="shared" si="57"/>
        <v/>
      </c>
      <c r="AW75" s="144" t="str">
        <f t="shared" si="58"/>
        <v/>
      </c>
      <c r="AX75" s="144" t="str">
        <f t="shared" si="59"/>
        <v/>
      </c>
      <c r="AY75" s="10"/>
      <c r="AZ75" s="10"/>
    </row>
    <row r="76" spans="12:52" ht="16.5" customHeight="1" x14ac:dyDescent="0.35">
      <c r="L76" s="6"/>
      <c r="M76" s="5"/>
      <c r="N76" s="5"/>
      <c r="O76" s="51">
        <f t="shared" si="61"/>
        <v>26</v>
      </c>
      <c r="P76" s="144" t="str">
        <f t="shared" si="62"/>
        <v/>
      </c>
      <c r="Q76" s="144" t="str">
        <f t="shared" si="26"/>
        <v/>
      </c>
      <c r="R76" s="144" t="str">
        <f t="shared" si="27"/>
        <v/>
      </c>
      <c r="S76" s="144" t="str">
        <f t="shared" si="28"/>
        <v/>
      </c>
      <c r="T76" s="144" t="str">
        <f t="shared" si="29"/>
        <v/>
      </c>
      <c r="U76" s="144" t="str">
        <f t="shared" si="30"/>
        <v/>
      </c>
      <c r="V76" s="144" t="str">
        <f t="shared" si="31"/>
        <v/>
      </c>
      <c r="W76" s="144" t="str">
        <f t="shared" si="32"/>
        <v/>
      </c>
      <c r="X76" s="144" t="str">
        <f t="shared" si="33"/>
        <v/>
      </c>
      <c r="Y76" s="144" t="str">
        <f t="shared" si="34"/>
        <v/>
      </c>
      <c r="Z76" s="144" t="str">
        <f t="shared" si="35"/>
        <v/>
      </c>
      <c r="AA76" s="144" t="str">
        <f t="shared" si="36"/>
        <v/>
      </c>
      <c r="AB76" s="144" t="str">
        <f t="shared" si="37"/>
        <v/>
      </c>
      <c r="AC76" s="144" t="str">
        <f t="shared" si="38"/>
        <v/>
      </c>
      <c r="AD76" s="144" t="str">
        <f t="shared" si="39"/>
        <v/>
      </c>
      <c r="AE76" s="144" t="str">
        <f t="shared" si="40"/>
        <v/>
      </c>
      <c r="AF76" s="144" t="str">
        <f t="shared" si="41"/>
        <v/>
      </c>
      <c r="AG76" s="144" t="str">
        <f t="shared" si="42"/>
        <v/>
      </c>
      <c r="AH76" s="144" t="str">
        <f t="shared" si="43"/>
        <v/>
      </c>
      <c r="AI76" s="144" t="str">
        <f t="shared" si="44"/>
        <v/>
      </c>
      <c r="AJ76" s="144" t="str">
        <f t="shared" si="45"/>
        <v/>
      </c>
      <c r="AK76" s="144" t="str">
        <f t="shared" si="46"/>
        <v/>
      </c>
      <c r="AL76" s="144" t="str">
        <f t="shared" si="47"/>
        <v/>
      </c>
      <c r="AM76" s="144" t="str">
        <f t="shared" si="48"/>
        <v/>
      </c>
      <c r="AN76" s="144" t="str">
        <f t="shared" si="49"/>
        <v/>
      </c>
      <c r="AO76" s="144" t="str">
        <f t="shared" si="50"/>
        <v/>
      </c>
      <c r="AP76" s="144" t="str">
        <f t="shared" si="51"/>
        <v/>
      </c>
      <c r="AQ76" s="144" t="str">
        <f t="shared" si="52"/>
        <v/>
      </c>
      <c r="AR76" s="144" t="str">
        <f t="shared" si="53"/>
        <v/>
      </c>
      <c r="AS76" s="144" t="str">
        <f t="shared" si="54"/>
        <v/>
      </c>
      <c r="AT76" s="144" t="str">
        <f t="shared" si="55"/>
        <v/>
      </c>
      <c r="AU76" s="144" t="str">
        <f t="shared" si="56"/>
        <v/>
      </c>
      <c r="AV76" s="144" t="str">
        <f t="shared" si="57"/>
        <v/>
      </c>
      <c r="AW76" s="144" t="str">
        <f t="shared" si="58"/>
        <v/>
      </c>
      <c r="AX76" s="144" t="str">
        <f t="shared" si="59"/>
        <v/>
      </c>
      <c r="AY76" s="10"/>
      <c r="AZ76" s="10"/>
    </row>
    <row r="77" spans="12:52" ht="16.5" customHeight="1" x14ac:dyDescent="0.35">
      <c r="L77" s="6"/>
      <c r="M77" s="5"/>
      <c r="N77" s="5"/>
      <c r="O77" s="51">
        <f t="shared" si="61"/>
        <v>24</v>
      </c>
      <c r="P77" s="144" t="str">
        <f t="shared" si="62"/>
        <v/>
      </c>
      <c r="Q77" s="144" t="str">
        <f t="shared" si="26"/>
        <v/>
      </c>
      <c r="R77" s="144" t="str">
        <f t="shared" si="27"/>
        <v/>
      </c>
      <c r="S77" s="144" t="str">
        <f t="shared" si="28"/>
        <v/>
      </c>
      <c r="T77" s="144" t="str">
        <f t="shared" si="29"/>
        <v/>
      </c>
      <c r="U77" s="144" t="str">
        <f t="shared" si="30"/>
        <v/>
      </c>
      <c r="V77" s="144" t="str">
        <f t="shared" si="31"/>
        <v/>
      </c>
      <c r="W77" s="144" t="str">
        <f t="shared" si="32"/>
        <v/>
      </c>
      <c r="X77" s="144" t="str">
        <f t="shared" si="33"/>
        <v/>
      </c>
      <c r="Y77" s="144" t="str">
        <f t="shared" si="34"/>
        <v/>
      </c>
      <c r="Z77" s="144" t="str">
        <f t="shared" si="35"/>
        <v/>
      </c>
      <c r="AA77" s="144" t="str">
        <f t="shared" si="36"/>
        <v/>
      </c>
      <c r="AB77" s="144" t="str">
        <f t="shared" si="37"/>
        <v/>
      </c>
      <c r="AC77" s="144" t="str">
        <f t="shared" si="38"/>
        <v/>
      </c>
      <c r="AD77" s="144" t="str">
        <f t="shared" si="39"/>
        <v/>
      </c>
      <c r="AE77" s="144" t="str">
        <f t="shared" si="40"/>
        <v/>
      </c>
      <c r="AF77" s="144" t="str">
        <f t="shared" si="41"/>
        <v/>
      </c>
      <c r="AG77" s="144" t="str">
        <f t="shared" si="42"/>
        <v/>
      </c>
      <c r="AH77" s="144" t="str">
        <f t="shared" si="43"/>
        <v/>
      </c>
      <c r="AI77" s="144" t="str">
        <f t="shared" si="44"/>
        <v/>
      </c>
      <c r="AJ77" s="144" t="str">
        <f t="shared" si="45"/>
        <v/>
      </c>
      <c r="AK77" s="144" t="str">
        <f t="shared" si="46"/>
        <v/>
      </c>
      <c r="AL77" s="144" t="str">
        <f t="shared" si="47"/>
        <v/>
      </c>
      <c r="AM77" s="144" t="str">
        <f t="shared" si="48"/>
        <v/>
      </c>
      <c r="AN77" s="144" t="str">
        <f t="shared" si="49"/>
        <v/>
      </c>
      <c r="AO77" s="144" t="str">
        <f t="shared" si="50"/>
        <v/>
      </c>
      <c r="AP77" s="144" t="str">
        <f t="shared" si="51"/>
        <v/>
      </c>
      <c r="AQ77" s="144" t="str">
        <f t="shared" si="52"/>
        <v/>
      </c>
      <c r="AR77" s="144" t="str">
        <f t="shared" si="53"/>
        <v/>
      </c>
      <c r="AS77" s="144" t="str">
        <f t="shared" si="54"/>
        <v/>
      </c>
      <c r="AT77" s="144" t="str">
        <f t="shared" si="55"/>
        <v/>
      </c>
      <c r="AU77" s="144" t="str">
        <f t="shared" si="56"/>
        <v/>
      </c>
      <c r="AV77" s="144" t="str">
        <f t="shared" si="57"/>
        <v/>
      </c>
      <c r="AW77" s="144" t="str">
        <f t="shared" si="58"/>
        <v/>
      </c>
      <c r="AX77" s="144" t="str">
        <f t="shared" si="59"/>
        <v/>
      </c>
      <c r="AY77" s="10"/>
      <c r="AZ77" s="10"/>
    </row>
    <row r="78" spans="12:52" ht="16.5" customHeight="1" x14ac:dyDescent="0.35">
      <c r="L78" s="6"/>
      <c r="M78" s="5"/>
      <c r="N78" s="5"/>
      <c r="O78" s="51">
        <f t="shared" si="61"/>
        <v>22</v>
      </c>
      <c r="P78" s="144" t="str">
        <f t="shared" si="62"/>
        <v/>
      </c>
      <c r="Q78" s="144" t="str">
        <f t="shared" si="26"/>
        <v/>
      </c>
      <c r="R78" s="144" t="str">
        <f t="shared" si="27"/>
        <v/>
      </c>
      <c r="S78" s="144" t="str">
        <f t="shared" si="28"/>
        <v/>
      </c>
      <c r="T78" s="144" t="str">
        <f t="shared" si="29"/>
        <v/>
      </c>
      <c r="U78" s="144" t="str">
        <f t="shared" si="30"/>
        <v/>
      </c>
      <c r="V78" s="144" t="str">
        <f t="shared" si="31"/>
        <v/>
      </c>
      <c r="W78" s="144" t="str">
        <f t="shared" si="32"/>
        <v/>
      </c>
      <c r="X78" s="144" t="str">
        <f t="shared" si="33"/>
        <v/>
      </c>
      <c r="Y78" s="144" t="str">
        <f t="shared" si="34"/>
        <v/>
      </c>
      <c r="Z78" s="144" t="str">
        <f t="shared" si="35"/>
        <v/>
      </c>
      <c r="AA78" s="144" t="str">
        <f t="shared" si="36"/>
        <v/>
      </c>
      <c r="AB78" s="144" t="str">
        <f t="shared" si="37"/>
        <v/>
      </c>
      <c r="AC78" s="144" t="str">
        <f t="shared" si="38"/>
        <v/>
      </c>
      <c r="AD78" s="144" t="str">
        <f t="shared" si="39"/>
        <v/>
      </c>
      <c r="AE78" s="144" t="str">
        <f t="shared" si="40"/>
        <v/>
      </c>
      <c r="AF78" s="144" t="str">
        <f t="shared" si="41"/>
        <v/>
      </c>
      <c r="AG78" s="144" t="str">
        <f t="shared" si="42"/>
        <v/>
      </c>
      <c r="AH78" s="144" t="str">
        <f t="shared" si="43"/>
        <v/>
      </c>
      <c r="AI78" s="144" t="str">
        <f t="shared" si="44"/>
        <v/>
      </c>
      <c r="AJ78" s="144" t="str">
        <f t="shared" si="45"/>
        <v/>
      </c>
      <c r="AK78" s="144" t="str">
        <f t="shared" si="46"/>
        <v/>
      </c>
      <c r="AL78" s="144" t="str">
        <f t="shared" si="47"/>
        <v/>
      </c>
      <c r="AM78" s="144" t="str">
        <f t="shared" si="48"/>
        <v/>
      </c>
      <c r="AN78" s="144" t="str">
        <f t="shared" si="49"/>
        <v/>
      </c>
      <c r="AO78" s="144" t="str">
        <f t="shared" si="50"/>
        <v/>
      </c>
      <c r="AP78" s="144" t="str">
        <f t="shared" si="51"/>
        <v/>
      </c>
      <c r="AQ78" s="144" t="str">
        <f t="shared" si="52"/>
        <v/>
      </c>
      <c r="AR78" s="144" t="str">
        <f t="shared" si="53"/>
        <v/>
      </c>
      <c r="AS78" s="144" t="str">
        <f t="shared" si="54"/>
        <v/>
      </c>
      <c r="AT78" s="144" t="str">
        <f t="shared" si="55"/>
        <v/>
      </c>
      <c r="AU78" s="144" t="str">
        <f t="shared" si="56"/>
        <v/>
      </c>
      <c r="AV78" s="144" t="str">
        <f t="shared" si="57"/>
        <v/>
      </c>
      <c r="AW78" s="144" t="str">
        <f t="shared" si="58"/>
        <v/>
      </c>
      <c r="AX78" s="144" t="str">
        <f t="shared" si="59"/>
        <v/>
      </c>
      <c r="AY78" s="10"/>
      <c r="AZ78" s="10"/>
    </row>
    <row r="79" spans="12:52" ht="16.5" customHeight="1" x14ac:dyDescent="0.35">
      <c r="L79" s="6"/>
      <c r="M79" s="5"/>
      <c r="N79" s="5"/>
      <c r="O79" s="51">
        <f t="shared" si="61"/>
        <v>20</v>
      </c>
      <c r="P79" s="144" t="str">
        <f t="shared" si="62"/>
        <v/>
      </c>
      <c r="Q79" s="144" t="str">
        <f t="shared" si="26"/>
        <v/>
      </c>
      <c r="R79" s="144" t="str">
        <f t="shared" si="27"/>
        <v/>
      </c>
      <c r="S79" s="144" t="str">
        <f t="shared" si="28"/>
        <v/>
      </c>
      <c r="T79" s="144" t="str">
        <f t="shared" si="29"/>
        <v/>
      </c>
      <c r="U79" s="144" t="str">
        <f t="shared" si="30"/>
        <v/>
      </c>
      <c r="V79" s="144" t="str">
        <f t="shared" si="31"/>
        <v/>
      </c>
      <c r="W79" s="144" t="str">
        <f t="shared" si="32"/>
        <v/>
      </c>
      <c r="X79" s="144" t="str">
        <f t="shared" si="33"/>
        <v/>
      </c>
      <c r="Y79" s="144" t="str">
        <f t="shared" si="34"/>
        <v/>
      </c>
      <c r="Z79" s="144" t="str">
        <f t="shared" si="35"/>
        <v/>
      </c>
      <c r="AA79" s="144" t="str">
        <f t="shared" si="36"/>
        <v/>
      </c>
      <c r="AB79" s="144" t="str">
        <f t="shared" si="37"/>
        <v/>
      </c>
      <c r="AC79" s="144" t="str">
        <f t="shared" si="38"/>
        <v/>
      </c>
      <c r="AD79" s="144" t="str">
        <f t="shared" si="39"/>
        <v/>
      </c>
      <c r="AE79" s="144" t="str">
        <f t="shared" si="40"/>
        <v/>
      </c>
      <c r="AF79" s="144" t="str">
        <f t="shared" si="41"/>
        <v/>
      </c>
      <c r="AG79" s="144" t="str">
        <f t="shared" si="42"/>
        <v/>
      </c>
      <c r="AH79" s="144" t="str">
        <f t="shared" si="43"/>
        <v/>
      </c>
      <c r="AI79" s="144" t="str">
        <f t="shared" si="44"/>
        <v/>
      </c>
      <c r="AJ79" s="144" t="str">
        <f t="shared" si="45"/>
        <v/>
      </c>
      <c r="AK79" s="144" t="str">
        <f t="shared" si="46"/>
        <v/>
      </c>
      <c r="AL79" s="144" t="str">
        <f t="shared" si="47"/>
        <v/>
      </c>
      <c r="AM79" s="144" t="str">
        <f t="shared" si="48"/>
        <v/>
      </c>
      <c r="AN79" s="144" t="str">
        <f t="shared" si="49"/>
        <v/>
      </c>
      <c r="AO79" s="144" t="str">
        <f t="shared" si="50"/>
        <v/>
      </c>
      <c r="AP79" s="144" t="str">
        <f t="shared" si="51"/>
        <v/>
      </c>
      <c r="AQ79" s="144" t="str">
        <f t="shared" si="52"/>
        <v/>
      </c>
      <c r="AR79" s="144" t="str">
        <f t="shared" si="53"/>
        <v/>
      </c>
      <c r="AS79" s="144" t="str">
        <f t="shared" si="54"/>
        <v/>
      </c>
      <c r="AT79" s="144" t="str">
        <f t="shared" si="55"/>
        <v/>
      </c>
      <c r="AU79" s="144" t="str">
        <f t="shared" si="56"/>
        <v/>
      </c>
      <c r="AV79" s="144" t="str">
        <f t="shared" si="57"/>
        <v/>
      </c>
      <c r="AW79" s="144" t="str">
        <f t="shared" si="58"/>
        <v/>
      </c>
      <c r="AX79" s="144" t="str">
        <f t="shared" si="59"/>
        <v/>
      </c>
      <c r="AY79" s="10"/>
      <c r="AZ79" s="10"/>
    </row>
    <row r="80" spans="12:52" ht="16.5" customHeight="1" x14ac:dyDescent="0.35">
      <c r="L80" s="6"/>
      <c r="M80" s="5"/>
      <c r="N80" s="5"/>
      <c r="O80" s="51">
        <f t="shared" si="61"/>
        <v>18</v>
      </c>
      <c r="P80" s="144" t="str">
        <f t="shared" si="62"/>
        <v/>
      </c>
      <c r="Q80" s="144" t="str">
        <f t="shared" si="26"/>
        <v/>
      </c>
      <c r="R80" s="144" t="str">
        <f t="shared" si="27"/>
        <v/>
      </c>
      <c r="S80" s="144" t="str">
        <f t="shared" si="28"/>
        <v/>
      </c>
      <c r="T80" s="144" t="str">
        <f t="shared" si="29"/>
        <v/>
      </c>
      <c r="U80" s="144" t="str">
        <f t="shared" si="30"/>
        <v/>
      </c>
      <c r="V80" s="144" t="str">
        <f t="shared" si="31"/>
        <v/>
      </c>
      <c r="W80" s="144" t="str">
        <f t="shared" si="32"/>
        <v/>
      </c>
      <c r="X80" s="144" t="str">
        <f t="shared" si="33"/>
        <v/>
      </c>
      <c r="Y80" s="144" t="str">
        <f t="shared" si="34"/>
        <v/>
      </c>
      <c r="Z80" s="144" t="str">
        <f t="shared" si="35"/>
        <v/>
      </c>
      <c r="AA80" s="144" t="str">
        <f t="shared" si="36"/>
        <v/>
      </c>
      <c r="AB80" s="144" t="str">
        <f t="shared" si="37"/>
        <v/>
      </c>
      <c r="AC80" s="144" t="str">
        <f t="shared" si="38"/>
        <v/>
      </c>
      <c r="AD80" s="144" t="str">
        <f t="shared" si="39"/>
        <v/>
      </c>
      <c r="AE80" s="144" t="str">
        <f t="shared" si="40"/>
        <v/>
      </c>
      <c r="AF80" s="144" t="str">
        <f t="shared" si="41"/>
        <v/>
      </c>
      <c r="AG80" s="144" t="str">
        <f t="shared" si="42"/>
        <v/>
      </c>
      <c r="AH80" s="144" t="str">
        <f t="shared" si="43"/>
        <v/>
      </c>
      <c r="AI80" s="144" t="str">
        <f t="shared" si="44"/>
        <v/>
      </c>
      <c r="AJ80" s="144" t="str">
        <f t="shared" si="45"/>
        <v/>
      </c>
      <c r="AK80" s="144" t="str">
        <f t="shared" si="46"/>
        <v/>
      </c>
      <c r="AL80" s="144">
        <f t="shared" si="47"/>
        <v>18</v>
      </c>
      <c r="AM80" s="144">
        <f t="shared" si="48"/>
        <v>17</v>
      </c>
      <c r="AN80" s="144">
        <f t="shared" si="49"/>
        <v>17</v>
      </c>
      <c r="AO80" s="144">
        <f t="shared" si="50"/>
        <v>17</v>
      </c>
      <c r="AP80" s="144">
        <f t="shared" si="51"/>
        <v>17</v>
      </c>
      <c r="AQ80" s="144" t="str">
        <f t="shared" si="52"/>
        <v/>
      </c>
      <c r="AR80" s="144" t="str">
        <f t="shared" si="53"/>
        <v/>
      </c>
      <c r="AS80" s="144" t="str">
        <f t="shared" si="54"/>
        <v/>
      </c>
      <c r="AT80" s="144" t="str">
        <f t="shared" si="55"/>
        <v/>
      </c>
      <c r="AU80" s="144" t="str">
        <f t="shared" si="56"/>
        <v/>
      </c>
      <c r="AV80" s="144" t="str">
        <f t="shared" si="57"/>
        <v/>
      </c>
      <c r="AW80" s="144" t="str">
        <f t="shared" si="58"/>
        <v/>
      </c>
      <c r="AX80" s="144" t="str">
        <f t="shared" si="59"/>
        <v/>
      </c>
      <c r="AY80" s="10"/>
      <c r="AZ80" s="10"/>
    </row>
    <row r="81" spans="12:52" ht="16.5" x14ac:dyDescent="0.35">
      <c r="L81" s="6"/>
      <c r="M81" s="5"/>
      <c r="N81" s="5"/>
      <c r="O81" s="51">
        <f t="shared" si="61"/>
        <v>16</v>
      </c>
      <c r="P81" s="144" t="str">
        <f t="shared" si="62"/>
        <v/>
      </c>
      <c r="Q81" s="144" t="str">
        <f t="shared" si="26"/>
        <v/>
      </c>
      <c r="R81" s="144" t="str">
        <f t="shared" si="27"/>
        <v/>
      </c>
      <c r="S81" s="144" t="str">
        <f t="shared" si="28"/>
        <v/>
      </c>
      <c r="T81" s="144" t="str">
        <f t="shared" si="29"/>
        <v/>
      </c>
      <c r="U81" s="144" t="str">
        <f t="shared" si="30"/>
        <v/>
      </c>
      <c r="V81" s="144" t="str">
        <f t="shared" si="31"/>
        <v/>
      </c>
      <c r="W81" s="144" t="str">
        <f t="shared" si="32"/>
        <v/>
      </c>
      <c r="X81" s="144" t="str">
        <f t="shared" si="33"/>
        <v/>
      </c>
      <c r="Y81" s="144" t="str">
        <f t="shared" si="34"/>
        <v/>
      </c>
      <c r="Z81" s="144" t="str">
        <f t="shared" si="35"/>
        <v/>
      </c>
      <c r="AA81" s="144" t="str">
        <f t="shared" si="36"/>
        <v/>
      </c>
      <c r="AB81" s="144" t="str">
        <f t="shared" si="37"/>
        <v/>
      </c>
      <c r="AC81" s="144" t="str">
        <f t="shared" si="38"/>
        <v/>
      </c>
      <c r="AD81" s="144" t="str">
        <f t="shared" si="39"/>
        <v/>
      </c>
      <c r="AE81" s="144" t="str">
        <f t="shared" si="40"/>
        <v/>
      </c>
      <c r="AF81" s="144" t="str">
        <f t="shared" si="41"/>
        <v/>
      </c>
      <c r="AG81" s="144" t="str">
        <f t="shared" si="42"/>
        <v/>
      </c>
      <c r="AH81" s="144" t="str">
        <f t="shared" si="43"/>
        <v/>
      </c>
      <c r="AI81" s="144" t="str">
        <f t="shared" si="44"/>
        <v/>
      </c>
      <c r="AJ81" s="144" t="str">
        <f t="shared" si="45"/>
        <v/>
      </c>
      <c r="AK81" s="144" t="str">
        <f t="shared" si="46"/>
        <v/>
      </c>
      <c r="AL81" s="144" t="str">
        <f t="shared" si="47"/>
        <v/>
      </c>
      <c r="AM81" s="144" t="str">
        <f t="shared" si="48"/>
        <v/>
      </c>
      <c r="AN81" s="144" t="str">
        <f t="shared" si="49"/>
        <v/>
      </c>
      <c r="AO81" s="144" t="str">
        <f t="shared" si="50"/>
        <v/>
      </c>
      <c r="AP81" s="144" t="str">
        <f t="shared" si="51"/>
        <v/>
      </c>
      <c r="AQ81" s="144" t="str">
        <f t="shared" si="52"/>
        <v/>
      </c>
      <c r="AR81" s="144" t="str">
        <f t="shared" si="53"/>
        <v/>
      </c>
      <c r="AS81" s="144">
        <f t="shared" si="54"/>
        <v>16</v>
      </c>
      <c r="AT81" s="144" t="str">
        <f t="shared" si="55"/>
        <v/>
      </c>
      <c r="AU81" s="144" t="str">
        <f t="shared" si="56"/>
        <v/>
      </c>
      <c r="AV81" s="144" t="str">
        <f t="shared" si="57"/>
        <v/>
      </c>
      <c r="AW81" s="144" t="str">
        <f t="shared" si="58"/>
        <v/>
      </c>
      <c r="AX81" s="144" t="str">
        <f t="shared" si="59"/>
        <v/>
      </c>
      <c r="AY81" s="10"/>
      <c r="AZ81" s="10"/>
    </row>
    <row r="82" spans="12:52" ht="16.5" x14ac:dyDescent="0.35">
      <c r="L82" s="6"/>
      <c r="M82" s="5"/>
      <c r="N82" s="5"/>
      <c r="O82" s="51">
        <f t="shared" si="61"/>
        <v>14</v>
      </c>
      <c r="P82" s="144" t="str">
        <f t="shared" si="62"/>
        <v/>
      </c>
      <c r="Q82" s="144" t="str">
        <f t="shared" si="26"/>
        <v/>
      </c>
      <c r="R82" s="144" t="str">
        <f t="shared" si="27"/>
        <v/>
      </c>
      <c r="S82" s="144" t="str">
        <f t="shared" si="28"/>
        <v/>
      </c>
      <c r="T82" s="144" t="str">
        <f t="shared" si="29"/>
        <v/>
      </c>
      <c r="U82" s="144" t="str">
        <f t="shared" si="30"/>
        <v/>
      </c>
      <c r="V82" s="144" t="str">
        <f t="shared" si="31"/>
        <v/>
      </c>
      <c r="W82" s="144" t="str">
        <f t="shared" si="32"/>
        <v/>
      </c>
      <c r="X82" s="144" t="str">
        <f t="shared" si="33"/>
        <v/>
      </c>
      <c r="Y82" s="144" t="str">
        <f t="shared" si="34"/>
        <v/>
      </c>
      <c r="Z82" s="144" t="str">
        <f t="shared" si="35"/>
        <v/>
      </c>
      <c r="AA82" s="144" t="str">
        <f t="shared" si="36"/>
        <v/>
      </c>
      <c r="AB82" s="144" t="str">
        <f t="shared" si="37"/>
        <v/>
      </c>
      <c r="AC82" s="144" t="str">
        <f t="shared" si="38"/>
        <v/>
      </c>
      <c r="AD82" s="144" t="str">
        <f t="shared" si="39"/>
        <v/>
      </c>
      <c r="AE82" s="144" t="str">
        <f t="shared" si="40"/>
        <v/>
      </c>
      <c r="AF82" s="144" t="str">
        <f t="shared" si="41"/>
        <v/>
      </c>
      <c r="AG82" s="144" t="str">
        <f t="shared" si="42"/>
        <v/>
      </c>
      <c r="AH82" s="144" t="str">
        <f t="shared" si="43"/>
        <v/>
      </c>
      <c r="AI82" s="144" t="str">
        <f t="shared" si="44"/>
        <v/>
      </c>
      <c r="AJ82" s="144" t="str">
        <f t="shared" si="45"/>
        <v/>
      </c>
      <c r="AK82" s="144" t="str">
        <f t="shared" si="46"/>
        <v/>
      </c>
      <c r="AL82" s="144" t="str">
        <f t="shared" si="47"/>
        <v/>
      </c>
      <c r="AM82" s="144" t="str">
        <f t="shared" si="48"/>
        <v/>
      </c>
      <c r="AN82" s="144" t="str">
        <f t="shared" si="49"/>
        <v/>
      </c>
      <c r="AO82" s="144" t="str">
        <f t="shared" si="50"/>
        <v/>
      </c>
      <c r="AP82" s="144" t="str">
        <f t="shared" si="51"/>
        <v/>
      </c>
      <c r="AQ82" s="144" t="str">
        <f t="shared" si="52"/>
        <v/>
      </c>
      <c r="AR82" s="144" t="str">
        <f t="shared" si="53"/>
        <v/>
      </c>
      <c r="AS82" s="144" t="str">
        <f t="shared" si="54"/>
        <v/>
      </c>
      <c r="AT82" s="144" t="str">
        <f t="shared" si="55"/>
        <v/>
      </c>
      <c r="AU82" s="144" t="str">
        <f t="shared" si="56"/>
        <v/>
      </c>
      <c r="AV82" s="144" t="str">
        <f t="shared" si="57"/>
        <v/>
      </c>
      <c r="AW82" s="144" t="str">
        <f t="shared" si="58"/>
        <v/>
      </c>
      <c r="AX82" s="144" t="str">
        <f t="shared" si="59"/>
        <v/>
      </c>
      <c r="AY82" s="10"/>
      <c r="AZ82" s="10"/>
    </row>
    <row r="83" spans="12:52" ht="16.5" x14ac:dyDescent="0.35">
      <c r="L83" s="6"/>
      <c r="M83" s="5"/>
      <c r="N83" s="5"/>
      <c r="O83" s="51">
        <f t="shared" si="61"/>
        <v>12</v>
      </c>
      <c r="P83" s="144" t="str">
        <f t="shared" si="62"/>
        <v/>
      </c>
      <c r="Q83" s="144" t="str">
        <f t="shared" si="26"/>
        <v/>
      </c>
      <c r="R83" s="144" t="str">
        <f t="shared" si="27"/>
        <v/>
      </c>
      <c r="S83" s="144" t="str">
        <f t="shared" si="28"/>
        <v/>
      </c>
      <c r="T83" s="144" t="str">
        <f t="shared" si="29"/>
        <v/>
      </c>
      <c r="U83" s="144" t="str">
        <f t="shared" si="30"/>
        <v/>
      </c>
      <c r="V83" s="144" t="str">
        <f t="shared" si="31"/>
        <v/>
      </c>
      <c r="W83" s="144" t="str">
        <f t="shared" si="32"/>
        <v/>
      </c>
      <c r="X83" s="144" t="str">
        <f t="shared" si="33"/>
        <v/>
      </c>
      <c r="Y83" s="144" t="str">
        <f t="shared" si="34"/>
        <v/>
      </c>
      <c r="Z83" s="144" t="str">
        <f t="shared" si="35"/>
        <v/>
      </c>
      <c r="AA83" s="144" t="str">
        <f t="shared" si="36"/>
        <v/>
      </c>
      <c r="AB83" s="144" t="str">
        <f t="shared" si="37"/>
        <v/>
      </c>
      <c r="AC83" s="144" t="str">
        <f t="shared" si="38"/>
        <v/>
      </c>
      <c r="AD83" s="144" t="str">
        <f t="shared" si="39"/>
        <v/>
      </c>
      <c r="AE83" s="144" t="str">
        <f t="shared" si="40"/>
        <v/>
      </c>
      <c r="AF83" s="144" t="str">
        <f t="shared" si="41"/>
        <v/>
      </c>
      <c r="AG83" s="144" t="str">
        <f t="shared" si="42"/>
        <v/>
      </c>
      <c r="AH83" s="144" t="str">
        <f t="shared" si="43"/>
        <v/>
      </c>
      <c r="AI83" s="144" t="str">
        <f t="shared" si="44"/>
        <v/>
      </c>
      <c r="AJ83" s="144" t="str">
        <f t="shared" si="45"/>
        <v/>
      </c>
      <c r="AK83" s="144" t="str">
        <f t="shared" si="46"/>
        <v/>
      </c>
      <c r="AL83" s="144" t="str">
        <f t="shared" si="47"/>
        <v/>
      </c>
      <c r="AM83" s="144" t="str">
        <f t="shared" si="48"/>
        <v/>
      </c>
      <c r="AN83" s="144" t="str">
        <f t="shared" si="49"/>
        <v/>
      </c>
      <c r="AO83" s="144" t="str">
        <f t="shared" si="50"/>
        <v/>
      </c>
      <c r="AP83" s="144" t="str">
        <f t="shared" si="51"/>
        <v/>
      </c>
      <c r="AQ83" s="144" t="str">
        <f t="shared" si="52"/>
        <v/>
      </c>
      <c r="AR83" s="144" t="str">
        <f t="shared" si="53"/>
        <v/>
      </c>
      <c r="AS83" s="144" t="str">
        <f t="shared" si="54"/>
        <v/>
      </c>
      <c r="AT83" s="144" t="str">
        <f t="shared" si="55"/>
        <v/>
      </c>
      <c r="AU83" s="144" t="str">
        <f t="shared" si="56"/>
        <v/>
      </c>
      <c r="AV83" s="144" t="str">
        <f t="shared" si="57"/>
        <v/>
      </c>
      <c r="AW83" s="144" t="str">
        <f t="shared" si="58"/>
        <v/>
      </c>
      <c r="AX83" s="144" t="str">
        <f t="shared" si="59"/>
        <v/>
      </c>
      <c r="AY83" s="10"/>
      <c r="AZ83" s="10"/>
    </row>
    <row r="84" spans="12:52" ht="16.5" x14ac:dyDescent="0.35">
      <c r="L84" s="6"/>
      <c r="M84" s="5"/>
      <c r="N84" s="5"/>
      <c r="O84" s="51">
        <f t="shared" si="61"/>
        <v>10</v>
      </c>
      <c r="P84" s="144" t="str">
        <f t="shared" si="62"/>
        <v/>
      </c>
      <c r="Q84" s="144" t="str">
        <f t="shared" si="26"/>
        <v/>
      </c>
      <c r="R84" s="144" t="str">
        <f t="shared" si="27"/>
        <v/>
      </c>
      <c r="S84" s="144" t="str">
        <f t="shared" si="28"/>
        <v/>
      </c>
      <c r="T84" s="144" t="str">
        <f t="shared" si="29"/>
        <v/>
      </c>
      <c r="U84" s="144" t="str">
        <f t="shared" si="30"/>
        <v/>
      </c>
      <c r="V84" s="144" t="str">
        <f t="shared" si="31"/>
        <v/>
      </c>
      <c r="W84" s="144" t="str">
        <f t="shared" si="32"/>
        <v/>
      </c>
      <c r="X84" s="144" t="str">
        <f t="shared" si="33"/>
        <v/>
      </c>
      <c r="Y84" s="144" t="str">
        <f t="shared" si="34"/>
        <v/>
      </c>
      <c r="Z84" s="144" t="str">
        <f t="shared" si="35"/>
        <v/>
      </c>
      <c r="AA84" s="144" t="str">
        <f t="shared" si="36"/>
        <v/>
      </c>
      <c r="AB84" s="144" t="str">
        <f t="shared" si="37"/>
        <v/>
      </c>
      <c r="AC84" s="144" t="str">
        <f t="shared" si="38"/>
        <v/>
      </c>
      <c r="AD84" s="144" t="str">
        <f t="shared" si="39"/>
        <v/>
      </c>
      <c r="AE84" s="144" t="str">
        <f t="shared" si="40"/>
        <v/>
      </c>
      <c r="AF84" s="144" t="str">
        <f t="shared" si="41"/>
        <v/>
      </c>
      <c r="AG84" s="144" t="str">
        <f t="shared" si="42"/>
        <v/>
      </c>
      <c r="AH84" s="144" t="str">
        <f t="shared" si="43"/>
        <v/>
      </c>
      <c r="AI84" s="144" t="str">
        <f t="shared" si="44"/>
        <v/>
      </c>
      <c r="AJ84" s="144" t="str">
        <f t="shared" si="45"/>
        <v/>
      </c>
      <c r="AK84" s="144" t="str">
        <f t="shared" si="46"/>
        <v/>
      </c>
      <c r="AL84" s="144" t="str">
        <f t="shared" si="47"/>
        <v/>
      </c>
      <c r="AM84" s="144" t="str">
        <f t="shared" si="48"/>
        <v/>
      </c>
      <c r="AN84" s="144" t="str">
        <f t="shared" si="49"/>
        <v/>
      </c>
      <c r="AO84" s="144" t="str">
        <f t="shared" si="50"/>
        <v/>
      </c>
      <c r="AP84" s="144" t="str">
        <f t="shared" si="51"/>
        <v/>
      </c>
      <c r="AQ84" s="144">
        <f t="shared" si="52"/>
        <v>10</v>
      </c>
      <c r="AR84" s="144">
        <f t="shared" si="53"/>
        <v>10</v>
      </c>
      <c r="AS84" s="144" t="str">
        <f t="shared" si="54"/>
        <v/>
      </c>
      <c r="AT84" s="144" t="str">
        <f t="shared" si="55"/>
        <v/>
      </c>
      <c r="AU84" s="144" t="str">
        <f t="shared" si="56"/>
        <v/>
      </c>
      <c r="AV84" s="144" t="str">
        <f t="shared" si="57"/>
        <v/>
      </c>
      <c r="AW84" s="144" t="str">
        <f t="shared" si="58"/>
        <v/>
      </c>
      <c r="AX84" s="144" t="str">
        <f t="shared" si="59"/>
        <v/>
      </c>
      <c r="AY84" s="10"/>
      <c r="AZ84" s="10"/>
    </row>
    <row r="85" spans="12:52" ht="16.5" x14ac:dyDescent="0.35">
      <c r="L85" s="6"/>
      <c r="M85" s="5"/>
      <c r="N85" s="5"/>
      <c r="O85" s="51">
        <f t="shared" si="61"/>
        <v>8</v>
      </c>
      <c r="P85" s="144" t="str">
        <f t="shared" si="62"/>
        <v/>
      </c>
      <c r="Q85" s="144" t="str">
        <f t="shared" si="26"/>
        <v/>
      </c>
      <c r="R85" s="144" t="str">
        <f t="shared" si="27"/>
        <v/>
      </c>
      <c r="S85" s="144">
        <f t="shared" si="28"/>
        <v>8</v>
      </c>
      <c r="T85" s="144">
        <f t="shared" si="29"/>
        <v>8</v>
      </c>
      <c r="U85" s="144">
        <f t="shared" si="30"/>
        <v>8</v>
      </c>
      <c r="V85" s="144">
        <f t="shared" si="31"/>
        <v>8</v>
      </c>
      <c r="W85" s="144">
        <f t="shared" si="32"/>
        <v>8</v>
      </c>
      <c r="X85" s="144">
        <f t="shared" si="33"/>
        <v>8</v>
      </c>
      <c r="Y85" s="144">
        <f t="shared" si="34"/>
        <v>8</v>
      </c>
      <c r="Z85" s="144">
        <f t="shared" si="35"/>
        <v>8</v>
      </c>
      <c r="AA85" s="144">
        <f t="shared" si="36"/>
        <v>8</v>
      </c>
      <c r="AB85" s="144">
        <f t="shared" si="37"/>
        <v>8</v>
      </c>
      <c r="AC85" s="144">
        <f t="shared" si="38"/>
        <v>8</v>
      </c>
      <c r="AD85" s="144">
        <f t="shared" si="39"/>
        <v>8</v>
      </c>
      <c r="AE85" s="144">
        <f t="shared" si="40"/>
        <v>8</v>
      </c>
      <c r="AF85" s="144">
        <f t="shared" si="41"/>
        <v>8</v>
      </c>
      <c r="AG85" s="144">
        <f t="shared" si="42"/>
        <v>8</v>
      </c>
      <c r="AH85" s="144">
        <f t="shared" si="43"/>
        <v>8</v>
      </c>
      <c r="AI85" s="144">
        <f t="shared" si="44"/>
        <v>8</v>
      </c>
      <c r="AJ85" s="144">
        <f t="shared" si="45"/>
        <v>8</v>
      </c>
      <c r="AK85" s="144">
        <f t="shared" si="46"/>
        <v>8</v>
      </c>
      <c r="AL85" s="144" t="str">
        <f t="shared" si="47"/>
        <v/>
      </c>
      <c r="AM85" s="144" t="str">
        <f t="shared" si="48"/>
        <v/>
      </c>
      <c r="AN85" s="144" t="str">
        <f t="shared" si="49"/>
        <v/>
      </c>
      <c r="AO85" s="144" t="str">
        <f t="shared" si="50"/>
        <v/>
      </c>
      <c r="AP85" s="144" t="str">
        <f t="shared" si="51"/>
        <v/>
      </c>
      <c r="AQ85" s="144" t="str">
        <f t="shared" si="52"/>
        <v/>
      </c>
      <c r="AR85" s="144" t="str">
        <f t="shared" si="53"/>
        <v/>
      </c>
      <c r="AS85" s="144" t="str">
        <f t="shared" si="54"/>
        <v/>
      </c>
      <c r="AT85" s="144" t="str">
        <f t="shared" si="55"/>
        <v/>
      </c>
      <c r="AU85" s="144" t="str">
        <f t="shared" si="56"/>
        <v/>
      </c>
      <c r="AV85" s="144" t="str">
        <f t="shared" si="57"/>
        <v/>
      </c>
      <c r="AW85" s="144" t="str">
        <f t="shared" si="58"/>
        <v/>
      </c>
      <c r="AX85" s="144" t="str">
        <f t="shared" si="59"/>
        <v/>
      </c>
      <c r="AY85" s="10"/>
      <c r="AZ85" s="10"/>
    </row>
    <row r="86" spans="12:52" ht="16.5" x14ac:dyDescent="0.35">
      <c r="L86" s="6"/>
      <c r="M86" s="5"/>
      <c r="N86" s="5"/>
      <c r="O86" s="51">
        <f t="shared" si="61"/>
        <v>6</v>
      </c>
      <c r="P86" s="144" t="str">
        <f t="shared" si="62"/>
        <v/>
      </c>
      <c r="Q86" s="144" t="str">
        <f t="shared" si="26"/>
        <v/>
      </c>
      <c r="R86" s="144" t="str">
        <f t="shared" si="27"/>
        <v/>
      </c>
      <c r="S86" s="144" t="str">
        <f t="shared" si="28"/>
        <v/>
      </c>
      <c r="T86" s="144" t="str">
        <f t="shared" si="29"/>
        <v/>
      </c>
      <c r="U86" s="144" t="str">
        <f t="shared" si="30"/>
        <v/>
      </c>
      <c r="V86" s="144" t="str">
        <f t="shared" si="31"/>
        <v/>
      </c>
      <c r="W86" s="144" t="str">
        <f t="shared" si="32"/>
        <v/>
      </c>
      <c r="X86" s="144" t="str">
        <f t="shared" si="33"/>
        <v/>
      </c>
      <c r="Y86" s="144" t="str">
        <f t="shared" si="34"/>
        <v/>
      </c>
      <c r="Z86" s="144" t="str">
        <f t="shared" si="35"/>
        <v/>
      </c>
      <c r="AA86" s="144" t="str">
        <f t="shared" si="36"/>
        <v/>
      </c>
      <c r="AB86" s="144" t="str">
        <f t="shared" si="37"/>
        <v/>
      </c>
      <c r="AC86" s="144" t="str">
        <f t="shared" si="38"/>
        <v/>
      </c>
      <c r="AD86" s="144" t="str">
        <f t="shared" si="39"/>
        <v/>
      </c>
      <c r="AE86" s="144" t="str">
        <f t="shared" si="40"/>
        <v/>
      </c>
      <c r="AF86" s="144" t="str">
        <f t="shared" si="41"/>
        <v/>
      </c>
      <c r="AG86" s="144" t="str">
        <f t="shared" si="42"/>
        <v/>
      </c>
      <c r="AH86" s="144" t="str">
        <f t="shared" si="43"/>
        <v/>
      </c>
      <c r="AI86" s="144" t="str">
        <f t="shared" si="44"/>
        <v/>
      </c>
      <c r="AJ86" s="144" t="str">
        <f t="shared" si="45"/>
        <v/>
      </c>
      <c r="AK86" s="144" t="str">
        <f t="shared" si="46"/>
        <v/>
      </c>
      <c r="AL86" s="144" t="str">
        <f t="shared" si="47"/>
        <v/>
      </c>
      <c r="AM86" s="144" t="str">
        <f t="shared" si="48"/>
        <v/>
      </c>
      <c r="AN86" s="144" t="str">
        <f t="shared" si="49"/>
        <v/>
      </c>
      <c r="AO86" s="144" t="str">
        <f t="shared" si="50"/>
        <v/>
      </c>
      <c r="AP86" s="144" t="str">
        <f t="shared" si="51"/>
        <v/>
      </c>
      <c r="AQ86" s="144" t="str">
        <f t="shared" si="52"/>
        <v/>
      </c>
      <c r="AR86" s="144" t="str">
        <f t="shared" si="53"/>
        <v/>
      </c>
      <c r="AS86" s="144" t="str">
        <f t="shared" si="54"/>
        <v/>
      </c>
      <c r="AT86" s="144" t="str">
        <f t="shared" si="55"/>
        <v/>
      </c>
      <c r="AU86" s="144">
        <f t="shared" si="56"/>
        <v>6</v>
      </c>
      <c r="AV86" s="144" t="str">
        <f t="shared" si="57"/>
        <v/>
      </c>
      <c r="AW86" s="144">
        <f t="shared" si="58"/>
        <v>5</v>
      </c>
      <c r="AX86" s="144" t="str">
        <f t="shared" si="59"/>
        <v/>
      </c>
      <c r="AY86" s="10"/>
      <c r="AZ86" s="10"/>
    </row>
    <row r="87" spans="12:52" ht="16.5" x14ac:dyDescent="0.35">
      <c r="L87" s="6"/>
      <c r="M87" s="5"/>
      <c r="N87" s="5"/>
      <c r="O87" s="51">
        <f t="shared" si="61"/>
        <v>4</v>
      </c>
      <c r="P87" s="144" t="str">
        <f t="shared" si="62"/>
        <v/>
      </c>
      <c r="Q87" s="144" t="str">
        <f t="shared" si="26"/>
        <v/>
      </c>
      <c r="R87" s="144" t="str">
        <f t="shared" si="27"/>
        <v/>
      </c>
      <c r="S87" s="144" t="str">
        <f t="shared" si="28"/>
        <v/>
      </c>
      <c r="T87" s="144" t="str">
        <f t="shared" si="29"/>
        <v/>
      </c>
      <c r="U87" s="144" t="str">
        <f t="shared" si="30"/>
        <v/>
      </c>
      <c r="V87" s="144" t="str">
        <f t="shared" si="31"/>
        <v/>
      </c>
      <c r="W87" s="144" t="str">
        <f t="shared" si="32"/>
        <v/>
      </c>
      <c r="X87" s="144" t="str">
        <f t="shared" si="33"/>
        <v/>
      </c>
      <c r="Y87" s="144" t="str">
        <f t="shared" si="34"/>
        <v/>
      </c>
      <c r="Z87" s="144" t="str">
        <f t="shared" si="35"/>
        <v/>
      </c>
      <c r="AA87" s="144" t="str">
        <f t="shared" si="36"/>
        <v/>
      </c>
      <c r="AB87" s="144" t="str">
        <f t="shared" si="37"/>
        <v/>
      </c>
      <c r="AC87" s="144" t="str">
        <f t="shared" si="38"/>
        <v/>
      </c>
      <c r="AD87" s="144" t="str">
        <f t="shared" si="39"/>
        <v/>
      </c>
      <c r="AE87" s="144" t="str">
        <f t="shared" si="40"/>
        <v/>
      </c>
      <c r="AF87" s="144" t="str">
        <f t="shared" si="41"/>
        <v/>
      </c>
      <c r="AG87" s="144" t="str">
        <f t="shared" si="42"/>
        <v/>
      </c>
      <c r="AH87" s="144" t="str">
        <f t="shared" si="43"/>
        <v/>
      </c>
      <c r="AI87" s="144" t="str">
        <f t="shared" si="44"/>
        <v/>
      </c>
      <c r="AJ87" s="144" t="str">
        <f t="shared" si="45"/>
        <v/>
      </c>
      <c r="AK87" s="144" t="str">
        <f t="shared" si="46"/>
        <v/>
      </c>
      <c r="AL87" s="144" t="str">
        <f t="shared" si="47"/>
        <v/>
      </c>
      <c r="AM87" s="144" t="str">
        <f t="shared" si="48"/>
        <v/>
      </c>
      <c r="AN87" s="144" t="str">
        <f t="shared" si="49"/>
        <v/>
      </c>
      <c r="AO87" s="144" t="str">
        <f t="shared" si="50"/>
        <v/>
      </c>
      <c r="AP87" s="144" t="str">
        <f t="shared" si="51"/>
        <v/>
      </c>
      <c r="AQ87" s="144" t="str">
        <f t="shared" si="52"/>
        <v/>
      </c>
      <c r="AR87" s="144" t="str">
        <f t="shared" si="53"/>
        <v/>
      </c>
      <c r="AS87" s="144" t="str">
        <f t="shared" si="54"/>
        <v/>
      </c>
      <c r="AT87" s="144">
        <f t="shared" si="55"/>
        <v>3</v>
      </c>
      <c r="AU87" s="144" t="str">
        <f t="shared" si="56"/>
        <v/>
      </c>
      <c r="AV87" s="144">
        <f t="shared" si="57"/>
        <v>3</v>
      </c>
      <c r="AW87" s="144" t="str">
        <f t="shared" si="58"/>
        <v/>
      </c>
      <c r="AX87" s="144" t="str">
        <f t="shared" si="59"/>
        <v/>
      </c>
      <c r="AY87" s="10"/>
      <c r="AZ87" s="10"/>
    </row>
    <row r="88" spans="12:52" ht="25" x14ac:dyDescent="0.35">
      <c r="L88" s="6"/>
      <c r="M88" s="5"/>
      <c r="N88" s="5"/>
      <c r="O88" s="51">
        <v>2</v>
      </c>
      <c r="P88" s="144" t="str">
        <f t="shared" si="62"/>
        <v/>
      </c>
      <c r="Q88" s="144" t="str">
        <f t="shared" si="26"/>
        <v/>
      </c>
      <c r="R88" s="144" t="str">
        <f t="shared" si="27"/>
        <v/>
      </c>
      <c r="S88" s="144" t="str">
        <f t="shared" si="28"/>
        <v/>
      </c>
      <c r="T88" s="144" t="str">
        <f t="shared" si="29"/>
        <v/>
      </c>
      <c r="U88" s="144" t="str">
        <f t="shared" si="30"/>
        <v/>
      </c>
      <c r="V88" s="144" t="str">
        <f t="shared" si="31"/>
        <v/>
      </c>
      <c r="W88" s="144" t="str">
        <f t="shared" si="32"/>
        <v/>
      </c>
      <c r="X88" s="144" t="str">
        <f t="shared" si="33"/>
        <v/>
      </c>
      <c r="Y88" s="144" t="str">
        <f t="shared" si="34"/>
        <v/>
      </c>
      <c r="Z88" s="144" t="str">
        <f t="shared" si="35"/>
        <v/>
      </c>
      <c r="AA88" s="144" t="str">
        <f t="shared" si="36"/>
        <v/>
      </c>
      <c r="AB88" s="144" t="str">
        <f t="shared" si="37"/>
        <v/>
      </c>
      <c r="AC88" s="144" t="str">
        <f t="shared" si="38"/>
        <v/>
      </c>
      <c r="AD88" s="144" t="str">
        <f t="shared" si="39"/>
        <v/>
      </c>
      <c r="AE88" s="144" t="str">
        <f t="shared" si="40"/>
        <v/>
      </c>
      <c r="AF88" s="144" t="str">
        <f t="shared" si="41"/>
        <v/>
      </c>
      <c r="AG88" s="144" t="str">
        <f t="shared" si="42"/>
        <v/>
      </c>
      <c r="AH88" s="144" t="str">
        <f t="shared" si="43"/>
        <v/>
      </c>
      <c r="AI88" s="144" t="str">
        <f t="shared" si="44"/>
        <v/>
      </c>
      <c r="AJ88" s="144" t="str">
        <f t="shared" si="45"/>
        <v/>
      </c>
      <c r="AK88" s="144" t="str">
        <f t="shared" si="46"/>
        <v/>
      </c>
      <c r="AL88" s="144" t="str">
        <f t="shared" si="47"/>
        <v/>
      </c>
      <c r="AM88" s="144" t="str">
        <f t="shared" si="48"/>
        <v/>
      </c>
      <c r="AN88" s="144" t="str">
        <f t="shared" si="49"/>
        <v/>
      </c>
      <c r="AO88" s="144" t="str">
        <f t="shared" si="50"/>
        <v/>
      </c>
      <c r="AP88" s="144" t="str">
        <f t="shared" si="51"/>
        <v/>
      </c>
      <c r="AQ88" s="144" t="str">
        <f t="shared" si="52"/>
        <v/>
      </c>
      <c r="AR88" s="144" t="str">
        <f t="shared" si="53"/>
        <v/>
      </c>
      <c r="AS88" s="144" t="str">
        <f t="shared" si="54"/>
        <v/>
      </c>
      <c r="AT88" s="144" t="str">
        <f t="shared" si="55"/>
        <v/>
      </c>
      <c r="AU88" s="144" t="str">
        <f t="shared" si="56"/>
        <v/>
      </c>
      <c r="AV88" s="144" t="str">
        <f t="shared" si="57"/>
        <v/>
      </c>
      <c r="AW88" s="144" t="str">
        <f t="shared" si="58"/>
        <v/>
      </c>
      <c r="AX88" s="144" t="str">
        <f t="shared" si="59"/>
        <v/>
      </c>
      <c r="AY88" s="28" t="s">
        <v>3</v>
      </c>
      <c r="AZ88" s="10"/>
    </row>
    <row r="89" spans="12:52" x14ac:dyDescent="0.35">
      <c r="L89" s="6"/>
      <c r="M89" s="5"/>
      <c r="N89" s="5"/>
      <c r="O89" s="52"/>
      <c r="P89" s="74">
        <f t="shared" ref="P89:AX89" si="63">P16</f>
        <v>43647</v>
      </c>
      <c r="Q89" s="74">
        <f t="shared" si="63"/>
        <v>43648</v>
      </c>
      <c r="R89" s="74">
        <f t="shared" si="63"/>
        <v>43649</v>
      </c>
      <c r="S89" s="74">
        <f t="shared" si="63"/>
        <v>43650</v>
      </c>
      <c r="T89" s="74">
        <f t="shared" si="63"/>
        <v>43651</v>
      </c>
      <c r="U89" s="74">
        <f t="shared" si="63"/>
        <v>43652</v>
      </c>
      <c r="V89" s="74">
        <f t="shared" si="63"/>
        <v>43653</v>
      </c>
      <c r="W89" s="74">
        <f t="shared" si="63"/>
        <v>43654</v>
      </c>
      <c r="X89" s="74">
        <f t="shared" si="63"/>
        <v>43655</v>
      </c>
      <c r="Y89" s="74">
        <f t="shared" si="63"/>
        <v>43656</v>
      </c>
      <c r="Z89" s="74">
        <f t="shared" si="63"/>
        <v>43657</v>
      </c>
      <c r="AA89" s="74">
        <f t="shared" si="63"/>
        <v>43658</v>
      </c>
      <c r="AB89" s="74">
        <f t="shared" si="63"/>
        <v>43659</v>
      </c>
      <c r="AC89" s="74">
        <f t="shared" si="63"/>
        <v>43660</v>
      </c>
      <c r="AD89" s="74">
        <f t="shared" si="63"/>
        <v>43661</v>
      </c>
      <c r="AE89" s="74">
        <f t="shared" si="63"/>
        <v>43662</v>
      </c>
      <c r="AF89" s="74">
        <f t="shared" si="63"/>
        <v>43663</v>
      </c>
      <c r="AG89" s="74">
        <f t="shared" si="63"/>
        <v>43664</v>
      </c>
      <c r="AH89" s="74">
        <f t="shared" si="63"/>
        <v>43665</v>
      </c>
      <c r="AI89" s="74">
        <f t="shared" si="63"/>
        <v>43666</v>
      </c>
      <c r="AJ89" s="74">
        <f t="shared" si="63"/>
        <v>43667</v>
      </c>
      <c r="AK89" s="74">
        <f t="shared" si="63"/>
        <v>43668</v>
      </c>
      <c r="AL89" s="74">
        <f t="shared" si="63"/>
        <v>43669</v>
      </c>
      <c r="AM89" s="74">
        <f t="shared" si="63"/>
        <v>43670</v>
      </c>
      <c r="AN89" s="74">
        <f t="shared" si="63"/>
        <v>43671</v>
      </c>
      <c r="AO89" s="74">
        <f t="shared" si="63"/>
        <v>43672</v>
      </c>
      <c r="AP89" s="74">
        <f t="shared" si="63"/>
        <v>43673</v>
      </c>
      <c r="AQ89" s="74">
        <f t="shared" si="63"/>
        <v>43674</v>
      </c>
      <c r="AR89" s="74">
        <f t="shared" si="63"/>
        <v>43675</v>
      </c>
      <c r="AS89" s="74">
        <f t="shared" si="63"/>
        <v>43676</v>
      </c>
      <c r="AT89" s="74">
        <f t="shared" si="63"/>
        <v>43677</v>
      </c>
      <c r="AU89" s="74">
        <f t="shared" si="63"/>
        <v>43678</v>
      </c>
      <c r="AV89" s="74">
        <f t="shared" si="63"/>
        <v>43679</v>
      </c>
      <c r="AW89" s="74">
        <f t="shared" si="63"/>
        <v>43680</v>
      </c>
      <c r="AX89" s="74">
        <f t="shared" si="63"/>
        <v>43681</v>
      </c>
    </row>
    <row r="90" spans="12:52" ht="28" x14ac:dyDescent="0.35">
      <c r="L90" s="6"/>
      <c r="M90" s="5"/>
      <c r="N90" s="5"/>
      <c r="O90" s="53" t="s">
        <v>6</v>
      </c>
      <c r="P90" s="54">
        <f t="shared" ref="P90:AX90" si="64">+SUMIF(P$19:P$37,"",$O$19:$O$37)</f>
        <v>0</v>
      </c>
      <c r="Q90" s="54">
        <f t="shared" si="64"/>
        <v>0</v>
      </c>
      <c r="R90" s="54">
        <f t="shared" si="64"/>
        <v>0</v>
      </c>
      <c r="S90" s="54">
        <f t="shared" si="64"/>
        <v>8</v>
      </c>
      <c r="T90" s="54">
        <f t="shared" si="64"/>
        <v>8</v>
      </c>
      <c r="U90" s="54">
        <f t="shared" si="64"/>
        <v>8</v>
      </c>
      <c r="V90" s="54">
        <f t="shared" si="64"/>
        <v>8</v>
      </c>
      <c r="W90" s="54">
        <f t="shared" si="64"/>
        <v>8</v>
      </c>
      <c r="X90" s="54">
        <f t="shared" si="64"/>
        <v>8</v>
      </c>
      <c r="Y90" s="54">
        <f t="shared" si="64"/>
        <v>8</v>
      </c>
      <c r="Z90" s="54">
        <f t="shared" si="64"/>
        <v>8</v>
      </c>
      <c r="AA90" s="54">
        <f t="shared" si="64"/>
        <v>8</v>
      </c>
      <c r="AB90" s="54">
        <f t="shared" si="64"/>
        <v>8</v>
      </c>
      <c r="AC90" s="54">
        <f t="shared" si="64"/>
        <v>8</v>
      </c>
      <c r="AD90" s="54">
        <f t="shared" si="64"/>
        <v>8</v>
      </c>
      <c r="AE90" s="54">
        <f t="shared" si="64"/>
        <v>8</v>
      </c>
      <c r="AF90" s="54">
        <f t="shared" si="64"/>
        <v>8</v>
      </c>
      <c r="AG90" s="54">
        <f t="shared" si="64"/>
        <v>8</v>
      </c>
      <c r="AH90" s="54">
        <f t="shared" si="64"/>
        <v>8</v>
      </c>
      <c r="AI90" s="54">
        <f t="shared" si="64"/>
        <v>8</v>
      </c>
      <c r="AJ90" s="54">
        <f t="shared" si="64"/>
        <v>8</v>
      </c>
      <c r="AK90" s="54">
        <f t="shared" si="64"/>
        <v>8</v>
      </c>
      <c r="AL90" s="54">
        <f t="shared" si="64"/>
        <v>18</v>
      </c>
      <c r="AM90" s="54">
        <f t="shared" si="64"/>
        <v>17</v>
      </c>
      <c r="AN90" s="54">
        <f t="shared" si="64"/>
        <v>17</v>
      </c>
      <c r="AO90" s="54">
        <f t="shared" si="64"/>
        <v>17</v>
      </c>
      <c r="AP90" s="54">
        <f t="shared" si="64"/>
        <v>17</v>
      </c>
      <c r="AQ90" s="54">
        <f t="shared" si="64"/>
        <v>10</v>
      </c>
      <c r="AR90" s="54">
        <f t="shared" si="64"/>
        <v>10</v>
      </c>
      <c r="AS90" s="54">
        <f t="shared" si="64"/>
        <v>16</v>
      </c>
      <c r="AT90" s="54">
        <f t="shared" si="64"/>
        <v>3</v>
      </c>
      <c r="AU90" s="54">
        <f t="shared" si="64"/>
        <v>6</v>
      </c>
      <c r="AV90" s="54">
        <f t="shared" si="64"/>
        <v>3</v>
      </c>
      <c r="AW90" s="54">
        <f t="shared" si="64"/>
        <v>5</v>
      </c>
      <c r="AX90" s="54">
        <f t="shared" si="64"/>
        <v>0</v>
      </c>
    </row>
    <row r="91" spans="12:52" x14ac:dyDescent="0.35">
      <c r="O91" s="55" t="s">
        <v>4</v>
      </c>
      <c r="P91" s="57">
        <f>+SUMIF(P$20:P$25,"",$O$20:$O$25)</f>
        <v>0</v>
      </c>
      <c r="Q91" s="57">
        <f t="shared" ref="Q91:AT91" si="65">+SUMIF(Q$20:Q$25,"",$O$20:$O$25)</f>
        <v>0</v>
      </c>
      <c r="R91" s="57">
        <f t="shared" si="65"/>
        <v>0</v>
      </c>
      <c r="S91" s="57">
        <f t="shared" si="65"/>
        <v>8</v>
      </c>
      <c r="T91" s="57">
        <f t="shared" si="65"/>
        <v>8</v>
      </c>
      <c r="U91" s="57">
        <f t="shared" si="65"/>
        <v>8</v>
      </c>
      <c r="V91" s="57">
        <f t="shared" si="65"/>
        <v>8</v>
      </c>
      <c r="W91" s="57">
        <f t="shared" si="65"/>
        <v>8</v>
      </c>
      <c r="X91" s="57">
        <f t="shared" si="65"/>
        <v>8</v>
      </c>
      <c r="Y91" s="57">
        <f t="shared" si="65"/>
        <v>8</v>
      </c>
      <c r="Z91" s="57">
        <f t="shared" si="65"/>
        <v>8</v>
      </c>
      <c r="AA91" s="57">
        <f t="shared" si="65"/>
        <v>8</v>
      </c>
      <c r="AB91" s="57">
        <f t="shared" si="65"/>
        <v>8</v>
      </c>
      <c r="AC91" s="57">
        <f t="shared" si="65"/>
        <v>8</v>
      </c>
      <c r="AD91" s="57">
        <f t="shared" si="65"/>
        <v>8</v>
      </c>
      <c r="AE91" s="57">
        <f t="shared" si="65"/>
        <v>8</v>
      </c>
      <c r="AF91" s="57">
        <f t="shared" si="65"/>
        <v>8</v>
      </c>
      <c r="AG91" s="57">
        <f t="shared" si="65"/>
        <v>8</v>
      </c>
      <c r="AH91" s="57">
        <f t="shared" si="65"/>
        <v>8</v>
      </c>
      <c r="AI91" s="57">
        <f t="shared" si="65"/>
        <v>8</v>
      </c>
      <c r="AJ91" s="57">
        <f t="shared" si="65"/>
        <v>8</v>
      </c>
      <c r="AK91" s="57">
        <f t="shared" si="65"/>
        <v>8</v>
      </c>
      <c r="AL91" s="57">
        <f t="shared" si="65"/>
        <v>18</v>
      </c>
      <c r="AM91" s="57">
        <f t="shared" si="65"/>
        <v>13</v>
      </c>
      <c r="AN91" s="57">
        <f t="shared" si="65"/>
        <v>13</v>
      </c>
      <c r="AO91" s="57">
        <f t="shared" si="65"/>
        <v>13</v>
      </c>
      <c r="AP91" s="57">
        <f t="shared" si="65"/>
        <v>13</v>
      </c>
      <c r="AQ91" s="57">
        <f t="shared" si="65"/>
        <v>6</v>
      </c>
      <c r="AR91" s="57">
        <f t="shared" si="65"/>
        <v>6</v>
      </c>
      <c r="AS91" s="57">
        <f t="shared" si="65"/>
        <v>6</v>
      </c>
      <c r="AT91" s="57">
        <f t="shared" si="65"/>
        <v>3</v>
      </c>
      <c r="AU91" s="57">
        <f>+SUMIF(AU$20:AU$25,1,$O$20:$O$25)/AU$90</f>
        <v>0</v>
      </c>
      <c r="AV91" s="57">
        <f>+SUMIF(AV$20:AV$25,1,$O$20:$O$25)/AV$90</f>
        <v>0</v>
      </c>
      <c r="AW91" s="57">
        <f>+SUMIF(AW$20:AW$25,1,$O$20:$O$25)/AW$90</f>
        <v>0</v>
      </c>
      <c r="AX91" s="57" t="e">
        <f>+SUMIF(AX$20:AX$25,1,$O$20:$O$25)/AX$90</f>
        <v>#DIV/0!</v>
      </c>
    </row>
    <row r="92" spans="12:52" x14ac:dyDescent="0.35">
      <c r="O92" s="55" t="s">
        <v>5</v>
      </c>
      <c r="P92" s="56">
        <f t="shared" ref="P92:AT92" si="66">+SUMIF(P$27:P$37,"",$O$27:$O$37)</f>
        <v>0</v>
      </c>
      <c r="Q92" s="56">
        <f t="shared" si="66"/>
        <v>0</v>
      </c>
      <c r="R92" s="56">
        <f t="shared" si="66"/>
        <v>0</v>
      </c>
      <c r="S92" s="56">
        <f t="shared" si="66"/>
        <v>0</v>
      </c>
      <c r="T92" s="56">
        <f t="shared" si="66"/>
        <v>0</v>
      </c>
      <c r="U92" s="56">
        <f t="shared" si="66"/>
        <v>0</v>
      </c>
      <c r="V92" s="56">
        <f t="shared" si="66"/>
        <v>0</v>
      </c>
      <c r="W92" s="56">
        <f t="shared" si="66"/>
        <v>0</v>
      </c>
      <c r="X92" s="56">
        <f t="shared" si="66"/>
        <v>0</v>
      </c>
      <c r="Y92" s="56">
        <f t="shared" si="66"/>
        <v>0</v>
      </c>
      <c r="Z92" s="56">
        <f t="shared" si="66"/>
        <v>0</v>
      </c>
      <c r="AA92" s="56">
        <f t="shared" si="66"/>
        <v>0</v>
      </c>
      <c r="AB92" s="56">
        <f t="shared" si="66"/>
        <v>0</v>
      </c>
      <c r="AC92" s="56">
        <f t="shared" si="66"/>
        <v>0</v>
      </c>
      <c r="AD92" s="56">
        <f t="shared" si="66"/>
        <v>0</v>
      </c>
      <c r="AE92" s="56">
        <f t="shared" si="66"/>
        <v>0</v>
      </c>
      <c r="AF92" s="56">
        <f t="shared" si="66"/>
        <v>0</v>
      </c>
      <c r="AG92" s="56">
        <f t="shared" si="66"/>
        <v>0</v>
      </c>
      <c r="AH92" s="56">
        <f t="shared" si="66"/>
        <v>0</v>
      </c>
      <c r="AI92" s="56">
        <f t="shared" si="66"/>
        <v>0</v>
      </c>
      <c r="AJ92" s="56">
        <f t="shared" si="66"/>
        <v>0</v>
      </c>
      <c r="AK92" s="56">
        <f t="shared" si="66"/>
        <v>0</v>
      </c>
      <c r="AL92" s="56">
        <f t="shared" si="66"/>
        <v>0</v>
      </c>
      <c r="AM92" s="56">
        <f t="shared" si="66"/>
        <v>4</v>
      </c>
      <c r="AN92" s="56">
        <f t="shared" si="66"/>
        <v>4</v>
      </c>
      <c r="AO92" s="56">
        <f t="shared" si="66"/>
        <v>4</v>
      </c>
      <c r="AP92" s="56">
        <f t="shared" si="66"/>
        <v>4</v>
      </c>
      <c r="AQ92" s="56">
        <f t="shared" si="66"/>
        <v>4</v>
      </c>
      <c r="AR92" s="56">
        <f t="shared" si="66"/>
        <v>4</v>
      </c>
      <c r="AS92" s="56">
        <f t="shared" si="66"/>
        <v>10</v>
      </c>
      <c r="AT92" s="56">
        <f t="shared" si="66"/>
        <v>0</v>
      </c>
      <c r="AU92" s="56">
        <f>+SUMIF(AU$27:AU$37,1,$O$27:$O$37)</f>
        <v>0</v>
      </c>
      <c r="AV92" s="56">
        <f>+SUMIF(AV$27:AV$37,1,$O$27:$O$37)</f>
        <v>0</v>
      </c>
      <c r="AW92" s="56">
        <f>+SUMIF(AW$27:AW$37,1,$O$27:$O$37)</f>
        <v>0</v>
      </c>
      <c r="AX92" s="56">
        <f>+SUMIF(AX$27:AX$37,1,$O$27:$O$37)</f>
        <v>0</v>
      </c>
    </row>
  </sheetData>
  <sheetProtection formatCells="0" formatRows="0" insertColumns="0" insertRows="0"/>
  <mergeCells count="26">
    <mergeCell ref="AE8:AL8"/>
    <mergeCell ref="AE9:AL9"/>
    <mergeCell ref="AM8:AP8"/>
    <mergeCell ref="D14:D16"/>
    <mergeCell ref="AR15:AX15"/>
    <mergeCell ref="AK15:AQ15"/>
    <mergeCell ref="H14:H16"/>
    <mergeCell ref="I14:I16"/>
    <mergeCell ref="P14:AF14"/>
    <mergeCell ref="AG14:AX14"/>
    <mergeCell ref="K14:K16"/>
    <mergeCell ref="L14:L16"/>
    <mergeCell ref="M14:M16"/>
    <mergeCell ref="N14:N16"/>
    <mergeCell ref="O14:O16"/>
    <mergeCell ref="D11:F11"/>
    <mergeCell ref="D13:F13"/>
    <mergeCell ref="AY14:AY16"/>
    <mergeCell ref="P15:V15"/>
    <mergeCell ref="W15:AC15"/>
    <mergeCell ref="AD15:AJ15"/>
    <mergeCell ref="F14:F16"/>
    <mergeCell ref="E14:E16"/>
    <mergeCell ref="J14:J16"/>
    <mergeCell ref="G14:G16"/>
    <mergeCell ref="AM13:AX13"/>
  </mergeCells>
  <conditionalFormatting sqref="P44:AX88">
    <cfRule type="expression" dxfId="64" priority="114" stopIfTrue="1">
      <formula>P$90&gt;$O44</formula>
    </cfRule>
  </conditionalFormatting>
  <conditionalFormatting sqref="F20:F25 F27:F37">
    <cfRule type="cellIs" dxfId="63" priority="105" operator="between">
      <formula>0.85</formula>
      <formula>1</formula>
    </cfRule>
    <cfRule type="cellIs" dxfId="62" priority="106" operator="between">
      <formula>0.3</formula>
      <formula>0.85</formula>
    </cfRule>
  </conditionalFormatting>
  <conditionalFormatting sqref="F20:F25 F27:F37">
    <cfRule type="cellIs" dxfId="61" priority="104" operator="between">
      <formula>0</formula>
      <formula>0.3</formula>
    </cfRule>
  </conditionalFormatting>
  <conditionalFormatting sqref="G14">
    <cfRule type="cellIs" dxfId="60" priority="102" operator="between">
      <formula>0.85</formula>
      <formula>1</formula>
    </cfRule>
    <cfRule type="cellIs" dxfId="59" priority="103" operator="between">
      <formula>0.3</formula>
      <formula>0.85</formula>
    </cfRule>
  </conditionalFormatting>
  <conditionalFormatting sqref="K10">
    <cfRule type="expression" dxfId="58" priority="36">
      <formula>$L$10="Ngày BC"</formula>
    </cfRule>
  </conditionalFormatting>
  <conditionalFormatting sqref="K9">
    <cfRule type="expression" dxfId="57" priority="35">
      <formula>$L$9="Quá hạn"</formula>
    </cfRule>
  </conditionalFormatting>
  <conditionalFormatting sqref="N9">
    <cfRule type="expression" dxfId="56" priority="34">
      <formula>$O$9="Ngày KTTT"</formula>
    </cfRule>
  </conditionalFormatting>
  <conditionalFormatting sqref="N10">
    <cfRule type="expression" dxfId="55" priority="33">
      <formula>$O$10="Ngày BĐTT"</formula>
    </cfRule>
  </conditionalFormatting>
  <conditionalFormatting sqref="P19:AX37">
    <cfRule type="expression" dxfId="54" priority="6">
      <formula>$H$12&lt;P$16</formula>
    </cfRule>
    <cfRule type="expression" dxfId="53" priority="7">
      <formula>$H$12=P$16</formula>
    </cfRule>
    <cfRule type="expression" dxfId="52" priority="8">
      <formula>$K19&lt;P$16</formula>
    </cfRule>
    <cfRule type="expression" dxfId="51" priority="9">
      <formula>$K19=P$16</formula>
    </cfRule>
    <cfRule type="expression" dxfId="50" priority="10">
      <formula>$I19=P$16</formula>
    </cfRule>
    <cfRule type="expression" dxfId="49" priority="11">
      <formula>IF(AND($J19&lt;P$16,$K19&gt;=P$16),TRUE,FALSE)</formula>
    </cfRule>
    <cfRule type="expression" dxfId="48" priority="12">
      <formula>IF(AND($I19&gt;P$16,$H19&lt;=P$16),TRUE,FALSE)</formula>
    </cfRule>
    <cfRule type="expression" dxfId="47" priority="13">
      <formula>IF(AND($I19&lt;=P$16,$J19&gt;=P$16),TRUE,FALSE)</formula>
    </cfRule>
    <cfRule type="expression" dxfId="46" priority="14">
      <formula>IF(AND($H19&lt;=P$16,$J19&gt;=P$16),TRUE,FALSE)</formula>
    </cfRule>
  </conditionalFormatting>
  <conditionalFormatting sqref="AM8:AP8">
    <cfRule type="expression" dxfId="45" priority="1">
      <formula>$AQ$8=0</formula>
    </cfRule>
    <cfRule type="expression" dxfId="44" priority="2">
      <formula>$AQ$8=1</formula>
    </cfRule>
  </conditionalFormatting>
  <conditionalFormatting sqref="O44:AV88 Q44:AX64">
    <cfRule type="expression" dxfId="43" priority="502">
      <formula>P$89&gt;$H$12+1</formula>
    </cfRule>
  </conditionalFormatting>
  <conditionalFormatting sqref="P44:AX88">
    <cfRule type="expression" dxfId="42" priority="504">
      <formula>P$89&gt;$H$12</formula>
    </cfRule>
    <cfRule type="expression" dxfId="41" priority="505">
      <formula>P$89&gt;$H$12</formula>
    </cfRule>
  </conditionalFormatting>
  <conditionalFormatting sqref="P90:AX92">
    <cfRule type="expression" dxfId="40" priority="506">
      <formula>P$89&gt;$H$12</formula>
    </cfRule>
  </conditionalFormatting>
  <printOptions horizontalCentered="1"/>
  <pageMargins left="0.23622047244094491" right="0.19685039370078741" top="0.51181102362204722" bottom="0.23622047244094491" header="0.23622047244094491" footer="0.23622047244094491"/>
  <pageSetup paperSize="8" scale="76" orientation="landscape" r:id="rId1"/>
  <headerFooter>
    <oddFooter>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autoLine="0" r:id="rId5">
            <anchor moveWithCells="1">
              <from>
                <xdr:col>16</xdr:col>
                <xdr:colOff>6350</xdr:colOff>
                <xdr:row>94</xdr:row>
                <xdr:rowOff>38100</xdr:rowOff>
              </from>
              <to>
                <xdr:col>20</xdr:col>
                <xdr:colOff>101600</xdr:colOff>
                <xdr:row>95</xdr:row>
                <xdr:rowOff>165100</xdr:rowOff>
              </to>
            </anchor>
          </controlPr>
        </control>
      </mc:Choice>
      <mc:Fallback>
        <control shapeId="1025" r:id="rId4" name="CommandButton1"/>
      </mc:Fallback>
    </mc:AlternateContent>
  </controls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2" operator="containsText" id="{8FA3C182-7248-4ACF-86BD-D83A995CB8BF}">
            <xm:f>NOT(ISERROR(SEARCH("NO",G19)))</xm:f>
            <xm:f>"NO"</xm:f>
            <x14:dxf>
              <fill>
                <gradientFill degree="90">
                  <stop position="0">
                    <color theme="0"/>
                  </stop>
                  <stop position="1">
                    <color rgb="FFFF7C80"/>
                  </stop>
                </gradientFill>
              </fill>
            </x14:dxf>
          </x14:cfRule>
          <x14:cfRule type="containsText" priority="83" operator="containsText" id="{642748AE-4542-4C11-8B0F-5A02E6C2F72C}">
            <xm:f>NOT(ISERROR(SEARCH("YES",G19)))</xm:f>
            <xm:f>"YES"</xm:f>
            <x14:dxf>
              <fill>
                <gradientFill degree="90">
                  <stop position="0">
                    <color theme="0"/>
                  </stop>
                  <stop position="1">
                    <color rgb="FFC5F8BE"/>
                  </stop>
                </gradientFill>
              </fill>
            </x14:dxf>
          </x14:cfRule>
          <xm:sqref>G19:G37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TĐ HPV 1- BR</vt:lpstr>
      <vt:lpstr>'TĐ HPV 1- BR'!Print_Area</vt:lpstr>
      <vt:lpstr>'TĐ HPV 1- BR'!Print_Titles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anhkhoa</dc:creator>
  <cp:lastModifiedBy>Admin</cp:lastModifiedBy>
  <cp:lastPrinted>2019-04-04T06:52:19Z</cp:lastPrinted>
  <dcterms:created xsi:type="dcterms:W3CDTF">2018-08-10T15:47:32Z</dcterms:created>
  <dcterms:modified xsi:type="dcterms:W3CDTF">2019-04-04T06:59:37Z</dcterms:modified>
</cp:coreProperties>
</file>