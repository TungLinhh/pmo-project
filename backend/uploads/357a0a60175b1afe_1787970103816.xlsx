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444" windowWidth="19416" windowHeight="9168"/>
  </bookViews>
  <sheets>
    <sheet name="SHOP BOH" sheetId="1" r:id="rId1"/>
  </sheets>
  <definedNames>
    <definedName name="_xlnm.Print_Area" localSheetId="0">'SHOP BOH'!$A$1:$BL$75</definedName>
    <definedName name="_xlnm.Print_Titles" localSheetId="0">'SHOP BOH'!$23:$25</definedName>
  </definedNames>
  <calcPr calcId="145621"/>
</workbook>
</file>

<file path=xl/calcChain.xml><?xml version="1.0" encoding="utf-8"?>
<calcChain xmlns="http://schemas.openxmlformats.org/spreadsheetml/2006/main">
  <c r="A60" i="1" l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G28" i="1" l="1"/>
  <c r="BL21" i="1" l="1"/>
  <c r="BD21" i="1"/>
  <c r="H75" i="1" l="1"/>
  <c r="H27" i="1" l="1"/>
  <c r="AH25" i="1" l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</calcChain>
</file>

<file path=xl/sharedStrings.xml><?xml version="1.0" encoding="utf-8"?>
<sst xmlns="http://schemas.openxmlformats.org/spreadsheetml/2006/main" count="164" uniqueCount="105">
  <si>
    <t>SSA</t>
  </si>
  <si>
    <t>HBG</t>
  </si>
  <si>
    <t>STT</t>
  </si>
  <si>
    <t>Tên bản vẽ</t>
  </si>
  <si>
    <t>% HT</t>
  </si>
  <si>
    <t>Ngày dự kiến trình</t>
  </si>
  <si>
    <t>Ngày thực tế trình</t>
  </si>
  <si>
    <t>Ngày trình lại</t>
  </si>
  <si>
    <t>Ngày phê duyệt</t>
  </si>
  <si>
    <t>Tháng 9</t>
  </si>
  <si>
    <t>Ghi chú</t>
  </si>
  <si>
    <t>Tuần 1</t>
  </si>
  <si>
    <t>Tuần 2</t>
  </si>
  <si>
    <t>Tuần 3</t>
  </si>
  <si>
    <t>Tuần 4</t>
  </si>
  <si>
    <t>Tuần 5</t>
  </si>
  <si>
    <t>SHOPDRAWING SUBMISSION FOR APPROVAL</t>
  </si>
  <si>
    <t>I</t>
  </si>
  <si>
    <t>Hệ điều hòa</t>
  </si>
  <si>
    <t>Hệ nước</t>
  </si>
  <si>
    <t>Phản hồi BQLDA</t>
  </si>
  <si>
    <t>Ngày dự kiến trình lại</t>
  </si>
  <si>
    <t>Lần 1</t>
  </si>
  <si>
    <t>Lần 2</t>
  </si>
  <si>
    <t>Lần 3</t>
  </si>
  <si>
    <t>Lần 4</t>
  </si>
  <si>
    <t>Lần 5</t>
  </si>
  <si>
    <t>CAM RANH</t>
  </si>
  <si>
    <t>II</t>
  </si>
  <si>
    <t>PROJECT NAME: BÃI TRÀM ESTATES</t>
  </si>
  <si>
    <t>DỰ ÁN:  KHU DU LỊCH SINH THÁI HÒN NGỌC BÃI TRÀM</t>
  </si>
  <si>
    <t xml:space="preserve">PACKAGE: MEP </t>
  </si>
  <si>
    <t xml:space="preserve">GÓI THẦU: CƠ </t>
  </si>
  <si>
    <t>A</t>
  </si>
  <si>
    <t>R</t>
  </si>
  <si>
    <t>Comment</t>
  </si>
  <si>
    <t>Ngày</t>
  </si>
  <si>
    <t>SƠ ĐỒ NGUYÊN LÝ HỆ THỐNG ĐHKK &amp; THÔNG GIÓ
AIR CONDITIONING AND VENTILATION SYSTEM - SINGLE LINE DIAGRAM</t>
  </si>
  <si>
    <t>MẶT BẰNG HỆ THỐNG ĐHKK &amp; THÔNG GIÓ - CAO ĐỘ A &amp; B
AIR CONDITIONING AND VENTILATION SYSTEM PLAN - LEVEL A &amp; B</t>
  </si>
  <si>
    <t>MẶT BẰNG HỆ THỐNG ĐHKK &amp; THÔNG GIÓ - CAO ĐỘ C,D &amp; E
AIR CONDITIONING AND VENTILATION SYSTEM PLAN - LEVELC,D &amp; E</t>
  </si>
  <si>
    <t>MẶT BẰNG HỆ THỐNG ĐHKK &amp; THÔNG GIÓ - CAO ĐỘ F
AIR CONDITIONING AND VENTILATION SYSTEM PLAN - LEVEL F</t>
  </si>
  <si>
    <t>SƠ ĐỒ NGUYÊN LÝ HỆ THỐNG CẤP NƯỚC, THOÁT NƯỚC THẢI
WATER SUPPLY AND DRAINAGE WATER SYSTEM - SINGLE LINE DIAGRAM</t>
  </si>
  <si>
    <t>MẶT BẰNG HỆ THỐNG CẤP NƯỚC - CAO ĐỘ A, C
WATER SUPPLY SYSTEM PLAN - LEVEL A, C</t>
  </si>
  <si>
    <t>MẶT BẰNG HỆ THỐNG CẤP NƯỚC - CAO ĐỘ E, F
WATER SUPPLY SYSTEM PLAN - LEVEL E, F</t>
  </si>
  <si>
    <t>MẶT BẰNG HỆ THỐNG THOÁT NƯỚC THẢI - CAO ĐỘ C
WASTE WATER DRAINAGE SYSTEM PLAN - LEVEL C</t>
  </si>
  <si>
    <t>MẶT BẰNG HỆ THỐNG THOÁT NƯỚC THẢI - CAO ĐỘ E, F
WASTE WATER DRAINAGE SYSTEM PLAN - LEVEL E, F</t>
  </si>
  <si>
    <t>MẶT BẰNG HỆ THỐNG THOÁT NƯỚC MƯA - CAO ĐÔ F, MÁI
RAIN WATER DRAINAGE SYSTEM PLAN - LEVEL F, ROOF</t>
  </si>
  <si>
    <t>CHI TIẾT CẤP THOÁT NƯỚC VỆ SINH - CAO ĐỘ +20.10M &amp; +23.30MM
SANITARY SEWER DETAILS - LEVEL +20.10M &amp; +23.30MM</t>
  </si>
  <si>
    <t>CHI TIẾT THOÁT NƯỚC VỆ SINH BẾP
 SANITARY SEWER DETAILS</t>
  </si>
  <si>
    <t>CHI TIẾT CẤP NƯỚC PHÒNG GIẶT
PLUMBING &amp; SANITARY DETAILS OF LAUNDRY ROOM</t>
  </si>
  <si>
    <t>CHI TIẾT THOÁT NƯỚC PHÒNG GIẶT
PLUMBING &amp; SANITARY DETAILS OF LAUNDRY ROOM</t>
  </si>
  <si>
    <t>CHI TIẾT BỂ NƯỚC SINH HOẠT + PCCC (1)
DETAIL OF DOMESTIC WATER TANK,FIRE TANK (1)</t>
  </si>
  <si>
    <t>CHI TIẾT BỂ NƯỚC SINH HOẠT + PCCC (2)
DETAIL OF DOMESTIC WATER TANK,FIRE TANK (2)</t>
  </si>
  <si>
    <t>CHI TIẾT BỂ TỰ HOẠI, BỂ TÁCH DẦU, STP
DETAIL OF SEPTIC TANK, GREASE TRAP, STP</t>
  </si>
  <si>
    <t>REV: BTE-HBG-SHD- BOH</t>
  </si>
  <si>
    <t>BTE-HBG-SHD-BOH:</t>
  </si>
  <si>
    <t xml:space="preserve">Mã hiệu </t>
  </si>
  <si>
    <t>BTE-WP4-HBC-SHD-MEP-HVAC-HVA-BOH-001</t>
  </si>
  <si>
    <t>BTE-WP4-HBC-SHD-MEP-HVAC-HVA-BOH-002</t>
  </si>
  <si>
    <t>BTE-WP4-HBC-SHD-MEP-HVAC-HVA-BOH-003</t>
  </si>
  <si>
    <t>BTE-WP4-HBC-SHD-MEP-HVAC-HVA-BOH-004</t>
  </si>
  <si>
    <t>BOH</t>
  </si>
  <si>
    <t>BTE-WP4-HBC-SHD- MEP-PLB-PL-BOH-001</t>
  </si>
  <si>
    <t>BTE-WP4-HBC-SHD- MEP-PLB-PWS-BOH-001</t>
  </si>
  <si>
    <t>BTE-WP4-HBC-SHD- MEP-PLB-PWS-BOH-002</t>
  </si>
  <si>
    <t>BTE-WP4-HBC-SHD- MEP-PLB-PID-BOH-001</t>
  </si>
  <si>
    <t>BTE-WP4-HBC-SHD- MEP-PLB-PID-BOH-002</t>
  </si>
  <si>
    <t>BTE-WP4-HBC-SHD- MEP-PLB-PID-BOH-003</t>
  </si>
  <si>
    <t>BTE-WP4-HBC-SHD- MEP-PLB-PID-BOH-004</t>
  </si>
  <si>
    <t>BTE-WP4-HBC-SHD- MEP-PLB-PL-BOH-002</t>
  </si>
  <si>
    <t>BTE-WP4-HBC-SHD- MEP-PLB-PL-BOH-003</t>
  </si>
  <si>
    <t>BTE-WP4-HBC-SHD- MEP-PLB-PL-BOH-004</t>
  </si>
  <si>
    <t>BTE-WP4-HBC-SHD- MEP-PLB-PL-BOH-005</t>
  </si>
  <si>
    <t>BTE-WP4-HBC-SHD- MEP-PLB-PL-BOH-006</t>
  </si>
  <si>
    <t>BTE-WP4-HBC-SHD- MEP-PLB-PL-BOH-007</t>
  </si>
  <si>
    <t>BTE-WP4-HBC-SHD- MEP-PLB-PL-BOH-008</t>
  </si>
  <si>
    <t>BTE-WP4-HBC-SHD- MEP-PLB-PL-BOH-009</t>
  </si>
  <si>
    <t>MẶT BẰNG HỆ THỐNG THOÁT NƯỚC MƯA - CAO ĐÔ A
RAIN WATER DRAINAGE SYSTEM PLAN - LEVEL A</t>
  </si>
  <si>
    <t>MẶT BẰNG HỆ THỐNG THOÁT NƯỚC MƯA - CAO ĐÔ E
RAIN WATER DRAINAGE SYSTEM PLAN - LEVEL E</t>
  </si>
  <si>
    <t>BTE-WP4-HBC-SHD-MEP-HVAC-HVA-BOH-005</t>
  </si>
  <si>
    <t>BTE-WP4-HBC-SHD-MEP-HVAC-HVA-BOH-006</t>
  </si>
  <si>
    <t>BTE-WP4-HBC-SHD-MEP-HVAC-HVA-BOH-007</t>
  </si>
  <si>
    <t>BTE-WP4-HBC-SHD-MEP-HVAC-HVA-BOH-008</t>
  </si>
  <si>
    <t>BTE-WP4-HBC-SHD-MEP-HVAC-HVA-BOH-009</t>
  </si>
  <si>
    <t>BTE-WP4-HBC-SHD-MEP-HVAC-HVA-BOH-010</t>
  </si>
  <si>
    <t>BTE-WP4-HBC-SHD-MEP-HVAC-HVA-BOH-011</t>
  </si>
  <si>
    <t>BTE-WP4-HBC-SHD-MEP-HVAC-HVA-BOH-012</t>
  </si>
  <si>
    <t>BTE-WP4-HBC-SHD-MEP-HVAC-HVA-BOH-013</t>
  </si>
  <si>
    <t>BTE-WP4-HBC-SHD-MEP-HVAC-HVA-BOH-014</t>
  </si>
  <si>
    <t>BTE-WP4-HBC-SHD-MEP-HVAC-HVA-BOH-015</t>
  </si>
  <si>
    <t>BTE-WP4-HBC-SHD-MEP-HVAC-HVA-BOH-016</t>
  </si>
  <si>
    <t>BTE-WP4-HBC-SHD-MEP-HVAC-HVA-BOH-017</t>
  </si>
  <si>
    <t>BTE-WP4-HBC-SHD-MEP-HVAC-HVA-BOH-018</t>
  </si>
  <si>
    <t>BTE-WP4-HBC-SHD-MEP-HVAC-HVA-BOH-019</t>
  </si>
  <si>
    <t>BTE-WP4-HBC-SHD-MEP-HVAC-HVA-BOH-020</t>
  </si>
  <si>
    <t>BTE-WP4-HBC-SHD-MEP-HVAC-HVA-BOH-021</t>
  </si>
  <si>
    <t>BTE-WP4-HBC-SHD-MEP-HVAC-HVA-BOH-022</t>
  </si>
  <si>
    <t>BTE-WP4-HBC-SHD-MEP-HVAC-HVA-BOH-023</t>
  </si>
  <si>
    <t>BTE-WP4-HBC-SHD-MEP-HVAC-HVA-BOH-024</t>
  </si>
  <si>
    <t>BTE-WP4-HBC-SHD-MEP-HVAC-HVA-BOH-025</t>
  </si>
  <si>
    <t>BTE-WP4-HBC-SHD-MEP-HVAC-HVA-BOH-026</t>
  </si>
  <si>
    <t>BTE-WP4-HBC-SHD-MEP-HVAC-HVA-BOH-027</t>
  </si>
  <si>
    <t>BTE-WP4-HBC-SHD-MEP-HVAC-HVA-BOH-028</t>
  </si>
  <si>
    <t>BTE-WP4-HBC-SHD-MEP-HVAC-HVA-BOH-029</t>
  </si>
  <si>
    <t>BTE-WP4-HBC-SHD-MEP-HVAC-HVA-BOH-030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</si>
</sst>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409]d\-mmm\-yy;@"/>
    <numFmt numFmtId="165" formatCode="dd/mm/yy;@"/>
    <numFmt numFmtId="166" formatCode="mm"/>
    <numFmt numFmtId="167" formatCode="dd"/>
    <numFmt numFmtId="168" formatCode="d/mm/yyyy;@"/>
    <numFmt numFmtId="169" formatCode="[$-409]d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8"/>
      <color rgb="FF0000FF"/>
      <name val="Times New Roman"/>
      <family val="1"/>
    </font>
    <font>
      <sz val="9"/>
      <name val="Times New Roman"/>
      <family val="1"/>
    </font>
    <font>
      <sz val="13"/>
      <name val="Times New Roman"/>
      <family val="1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sz val="12"/>
      <color rgb="FF0000FF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rgb="FFFF0000"/>
      </left>
      <right/>
      <top style="double">
        <color auto="1"/>
      </top>
      <bottom style="double">
        <color auto="1"/>
      </bottom>
      <diagonal/>
    </border>
    <border>
      <left/>
      <right style="double">
        <color rgb="FFFF0000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2">
    <xf numFmtId="0" fontId="0" fillId="0" borderId="0" xfId="0"/>
    <xf numFmtId="0" fontId="2" fillId="3" borderId="3" xfId="0" applyFont="1" applyFill="1" applyBorder="1" applyAlignment="1">
      <alignment vertical="center"/>
    </xf>
    <xf numFmtId="0" fontId="3" fillId="3" borderId="0" xfId="0" applyFont="1" applyFill="1"/>
    <xf numFmtId="0" fontId="2" fillId="3" borderId="2" xfId="0" applyFont="1" applyFill="1" applyBorder="1" applyAlignment="1">
      <alignment vertical="center"/>
    </xf>
    <xf numFmtId="167" fontId="3" fillId="3" borderId="2" xfId="0" applyNumberFormat="1" applyFont="1" applyFill="1" applyBorder="1" applyAlignment="1">
      <alignment horizontal="center" vertical="center"/>
    </xf>
    <xf numFmtId="16" fontId="3" fillId="3" borderId="0" xfId="0" applyNumberFormat="1" applyFont="1" applyFill="1"/>
    <xf numFmtId="0" fontId="3" fillId="4" borderId="0" xfId="0" applyFont="1" applyFill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65" fontId="4" fillId="4" borderId="2" xfId="0" quotePrefix="1" applyNumberFormat="1" applyFont="1" applyFill="1" applyBorder="1" applyAlignment="1">
      <alignment horizontal="center" vertical="center"/>
    </xf>
    <xf numFmtId="165" fontId="4" fillId="4" borderId="2" xfId="0" quotePrefix="1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5" fontId="4" fillId="4" borderId="5" xfId="0" quotePrefix="1" applyNumberFormat="1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/>
    </xf>
    <xf numFmtId="165" fontId="4" fillId="4" borderId="5" xfId="0" quotePrefix="1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6" fillId="0" borderId="0" xfId="0" applyFont="1"/>
    <xf numFmtId="9" fontId="4" fillId="4" borderId="2" xfId="0" applyNumberFormat="1" applyFont="1" applyFill="1" applyBorder="1" applyAlignment="1">
      <alignment horizontal="center" vertical="center" wrapText="1"/>
    </xf>
    <xf numFmtId="9" fontId="4" fillId="4" borderId="5" xfId="0" applyNumberFormat="1" applyFont="1" applyFill="1" applyBorder="1" applyAlignment="1">
      <alignment horizontal="center" vertical="center" wrapText="1"/>
    </xf>
    <xf numFmtId="14" fontId="4" fillId="4" borderId="5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4" fontId="3" fillId="0" borderId="0" xfId="0" applyNumberFormat="1" applyFont="1"/>
    <xf numFmtId="14" fontId="3" fillId="4" borderId="0" xfId="0" applyNumberFormat="1" applyFont="1" applyFill="1"/>
    <xf numFmtId="0" fontId="11" fillId="2" borderId="2" xfId="0" applyFont="1" applyFill="1" applyBorder="1" applyAlignment="1">
      <alignment horizontal="left" vertical="center"/>
    </xf>
    <xf numFmtId="9" fontId="11" fillId="2" borderId="2" xfId="0" applyNumberFormat="1" applyFont="1" applyFill="1" applyBorder="1" applyAlignment="1">
      <alignment horizontal="left" vertical="center" wrapText="1"/>
    </xf>
    <xf numFmtId="14" fontId="11" fillId="2" borderId="2" xfId="0" applyNumberFormat="1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14" fontId="7" fillId="4" borderId="0" xfId="0" applyNumberFormat="1" applyFont="1" applyFill="1" applyAlignment="1">
      <alignment horizontal="left"/>
    </xf>
    <xf numFmtId="0" fontId="7" fillId="2" borderId="10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14" fontId="7" fillId="2" borderId="14" xfId="0" applyNumberFormat="1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center" vertical="center"/>
    </xf>
    <xf numFmtId="16" fontId="9" fillId="4" borderId="0" xfId="0" applyNumberFormat="1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167" fontId="3" fillId="5" borderId="2" xfId="0" applyNumberFormat="1" applyFont="1" applyFill="1" applyBorder="1" applyAlignment="1">
      <alignment horizontal="center" vertical="center"/>
    </xf>
    <xf numFmtId="16" fontId="12" fillId="5" borderId="7" xfId="0" applyNumberFormat="1" applyFont="1" applyFill="1" applyBorder="1"/>
    <xf numFmtId="16" fontId="3" fillId="5" borderId="0" xfId="0" applyNumberFormat="1" applyFont="1" applyFill="1" applyBorder="1"/>
    <xf numFmtId="16" fontId="3" fillId="5" borderId="0" xfId="0" applyNumberFormat="1" applyFont="1" applyFill="1"/>
    <xf numFmtId="0" fontId="3" fillId="5" borderId="0" xfId="0" applyFont="1" applyFill="1"/>
    <xf numFmtId="14" fontId="2" fillId="3" borderId="2" xfId="0" applyNumberFormat="1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4" fontId="13" fillId="0" borderId="0" xfId="1" applyNumberFormat="1" applyFont="1" applyBorder="1" applyAlignment="1">
      <alignment horizontal="center" vertical="center"/>
    </xf>
    <xf numFmtId="14" fontId="13" fillId="0" borderId="0" xfId="1" applyNumberFormat="1" applyFont="1" applyAlignment="1">
      <alignment horizontal="center" vertical="center"/>
    </xf>
    <xf numFmtId="0" fontId="14" fillId="0" borderId="0" xfId="1" applyFont="1" applyAlignment="1">
      <alignment vertical="center" wrapText="1"/>
    </xf>
    <xf numFmtId="0" fontId="13" fillId="0" borderId="0" xfId="1" applyFont="1" applyAlignment="1">
      <alignment vertical="center"/>
    </xf>
    <xf numFmtId="0" fontId="13" fillId="0" borderId="0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5" fillId="0" borderId="0" xfId="1" applyFont="1" applyBorder="1" applyAlignment="1">
      <alignment vertical="center"/>
    </xf>
    <xf numFmtId="0" fontId="13" fillId="0" borderId="0" xfId="1" applyFont="1" applyBorder="1" applyAlignment="1">
      <alignment vertical="center"/>
    </xf>
    <xf numFmtId="0" fontId="13" fillId="0" borderId="0" xfId="1" applyFont="1" applyBorder="1" applyAlignment="1">
      <alignment horizontal="left" vertical="center"/>
    </xf>
    <xf numFmtId="14" fontId="15" fillId="0" borderId="0" xfId="1" applyNumberFormat="1" applyFont="1" applyBorder="1" applyAlignment="1">
      <alignment horizontal="center" vertical="center"/>
    </xf>
    <xf numFmtId="165" fontId="15" fillId="0" borderId="0" xfId="1" applyNumberFormat="1" applyFont="1" applyBorder="1" applyAlignment="1">
      <alignment horizontal="center" vertical="center"/>
    </xf>
    <xf numFmtId="165" fontId="13" fillId="0" borderId="0" xfId="1" applyNumberFormat="1" applyFont="1" applyBorder="1" applyAlignment="1">
      <alignment horizontal="center" vertical="center"/>
    </xf>
    <xf numFmtId="168" fontId="13" fillId="0" borderId="0" xfId="1" applyNumberFormat="1" applyFont="1" applyBorder="1" applyAlignment="1">
      <alignment horizontal="center"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horizontal="left" vertical="center" wrapText="1"/>
    </xf>
    <xf numFmtId="0" fontId="17" fillId="0" borderId="0" xfId="1" applyFont="1" applyAlignment="1">
      <alignment vertical="center" wrapText="1"/>
    </xf>
    <xf numFmtId="0" fontId="18" fillId="0" borderId="0" xfId="1" applyFont="1" applyAlignment="1">
      <alignment vertical="center" wrapText="1"/>
    </xf>
    <xf numFmtId="0" fontId="19" fillId="0" borderId="0" xfId="1" applyFont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/>
    </xf>
    <xf numFmtId="169" fontId="20" fillId="4" borderId="2" xfId="0" quotePrefix="1" applyNumberFormat="1" applyFont="1" applyFill="1" applyBorder="1" applyAlignment="1">
      <alignment horizontal="center" vertical="center" wrapText="1"/>
    </xf>
    <xf numFmtId="14" fontId="2" fillId="3" borderId="15" xfId="0" applyNumberFormat="1" applyFont="1" applyFill="1" applyBorder="1" applyAlignment="1">
      <alignment vertical="center" wrapText="1"/>
    </xf>
    <xf numFmtId="14" fontId="2" fillId="3" borderId="15" xfId="0" applyNumberFormat="1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14" fontId="2" fillId="3" borderId="21" xfId="0" applyNumberFormat="1" applyFont="1" applyFill="1" applyBorder="1" applyAlignment="1">
      <alignment vertical="center" wrapText="1"/>
    </xf>
    <xf numFmtId="14" fontId="2" fillId="3" borderId="24" xfId="0" applyNumberFormat="1" applyFont="1" applyFill="1" applyBorder="1" applyAlignment="1">
      <alignment vertical="center" wrapText="1"/>
    </xf>
    <xf numFmtId="14" fontId="2" fillId="3" borderId="20" xfId="0" applyNumberFormat="1" applyFont="1" applyFill="1" applyBorder="1" applyAlignment="1">
      <alignment vertical="center" wrapText="1"/>
    </xf>
    <xf numFmtId="14" fontId="2" fillId="3" borderId="18" xfId="0" applyNumberFormat="1" applyFont="1" applyFill="1" applyBorder="1" applyAlignment="1">
      <alignment vertical="center" wrapText="1"/>
    </xf>
    <xf numFmtId="9" fontId="4" fillId="2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1" fillId="4" borderId="2" xfId="0" applyFont="1" applyFill="1" applyBorder="1" applyAlignment="1">
      <alignment horizontal="left" vertical="center" wrapText="1"/>
    </xf>
    <xf numFmtId="0" fontId="21" fillId="4" borderId="2" xfId="0" applyFont="1" applyFill="1" applyBorder="1" applyAlignment="1">
      <alignment vertical="center" wrapText="1"/>
    </xf>
    <xf numFmtId="14" fontId="4" fillId="2" borderId="2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4" fontId="11" fillId="2" borderId="18" xfId="0" applyNumberFormat="1" applyFont="1" applyFill="1" applyBorder="1" applyAlignment="1">
      <alignment horizontal="left" vertical="center"/>
    </xf>
    <xf numFmtId="14" fontId="11" fillId="2" borderId="19" xfId="0" applyNumberFormat="1" applyFont="1" applyFill="1" applyBorder="1" applyAlignment="1">
      <alignment horizontal="left" vertical="center"/>
    </xf>
    <xf numFmtId="14" fontId="11" fillId="2" borderId="22" xfId="0" applyNumberFormat="1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169" fontId="20" fillId="0" borderId="2" xfId="0" quotePrefix="1" applyNumberFormat="1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7" fillId="0" borderId="0" xfId="1" applyFont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17" xfId="0" applyNumberFormat="1" applyFont="1" applyFill="1" applyBorder="1" applyAlignment="1">
      <alignment horizontal="center" vertical="center" wrapText="1"/>
    </xf>
    <xf numFmtId="14" fontId="2" fillId="3" borderId="21" xfId="0" applyNumberFormat="1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66" fontId="2" fillId="3" borderId="3" xfId="0" applyNumberFormat="1" applyFont="1" applyFill="1" applyBorder="1" applyAlignment="1">
      <alignment horizontal="center" vertical="center" wrapText="1"/>
    </xf>
    <xf numFmtId="14" fontId="2" fillId="3" borderId="25" xfId="0" applyNumberFormat="1" applyFont="1" applyFill="1" applyBorder="1" applyAlignment="1">
      <alignment horizontal="center" vertical="center" wrapText="1"/>
    </xf>
    <xf numFmtId="14" fontId="2" fillId="3" borderId="23" xfId="0" applyNumberFormat="1" applyFont="1" applyFill="1" applyBorder="1" applyAlignment="1">
      <alignment horizontal="center" vertical="center" wrapText="1"/>
    </xf>
    <xf numFmtId="14" fontId="2" fillId="3" borderId="19" xfId="0" applyNumberFormat="1" applyFont="1" applyFill="1" applyBorder="1" applyAlignment="1">
      <alignment horizontal="center" vertical="center" wrapText="1"/>
    </xf>
    <xf numFmtId="14" fontId="2" fillId="3" borderId="22" xfId="0" applyNumberFormat="1" applyFont="1" applyFill="1" applyBorder="1" applyAlignment="1">
      <alignment horizontal="center" vertical="center" wrapText="1"/>
    </xf>
    <xf numFmtId="14" fontId="2" fillId="3" borderId="18" xfId="0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4" fontId="7" fillId="2" borderId="11" xfId="0" applyNumberFormat="1" applyFont="1" applyFill="1" applyBorder="1" applyAlignment="1">
      <alignment horizontal="center" vertical="center"/>
    </xf>
    <xf numFmtId="14" fontId="7" fillId="2" borderId="13" xfId="0" applyNumberFormat="1" applyFont="1" applyFill="1" applyBorder="1" applyAlignment="1">
      <alignment horizontal="center" vertical="center"/>
    </xf>
    <xf numFmtId="14" fontId="2" fillId="3" borderId="16" xfId="0" applyNumberFormat="1" applyFont="1" applyFill="1" applyBorder="1" applyAlignment="1">
      <alignment horizontal="center" vertical="center" wrapText="1"/>
    </xf>
    <xf numFmtId="14" fontId="2" fillId="3" borderId="2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166">
    <dxf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S&#417;%20&#273;&#7891;%20shop%20t&#7893;ng%20th&#7875;%20c&#225;c%20khu%20v&#7921;c.xlsx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54427</xdr:colOff>
      <xdr:row>0</xdr:row>
      <xdr:rowOff>87086</xdr:rowOff>
    </xdr:from>
    <xdr:to>
      <xdr:col>32</xdr:col>
      <xdr:colOff>418108</xdr:colOff>
      <xdr:row>8</xdr:row>
      <xdr:rowOff>85976</xdr:rowOff>
    </xdr:to>
    <xdr:pic>
      <xdr:nvPicPr>
        <xdr:cNvPr id="2" name="Picture 2" descr="C:\Documents and Settings\vitinh\Desktop\Untitled-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5" t="1413" r="4359" b="92097"/>
        <a:stretch>
          <a:fillRect/>
        </a:stretch>
      </xdr:blipFill>
      <xdr:spPr bwMode="auto">
        <a:xfrm>
          <a:off x="54427" y="87086"/>
          <a:ext cx="23739929" cy="1668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64</xdr:col>
      <xdr:colOff>54430</xdr:colOff>
      <xdr:row>0</xdr:row>
      <xdr:rowOff>0</xdr:rowOff>
    </xdr:from>
    <xdr:to>
      <xdr:col>69</xdr:col>
      <xdr:colOff>318654</xdr:colOff>
      <xdr:row>5</xdr:row>
      <xdr:rowOff>152399</xdr:rowOff>
    </xdr:to>
    <xdr:sp macro="" textlink="">
      <xdr:nvSpPr>
        <xdr:cNvPr id="7" name="Bevel 6">
          <a:hlinkClick xmlns:r="http://schemas.openxmlformats.org/officeDocument/2006/relationships" r:id="rId2" tooltip="Trần Trưởng"/>
        </xdr:cNvPr>
        <xdr:cNvSpPr/>
      </xdr:nvSpPr>
      <xdr:spPr>
        <a:xfrm>
          <a:off x="18636344" y="0"/>
          <a:ext cx="3312224" cy="124097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Times New Roman" pitchFamily="18" charset="0"/>
              <a:cs typeface="Times New Roman" pitchFamily="18" charset="0"/>
            </a:rPr>
            <a:t>QUAY</a:t>
          </a:r>
          <a:r>
            <a:rPr lang="en-US" sz="2000" baseline="0">
              <a:latin typeface="Times New Roman" pitchFamily="18" charset="0"/>
              <a:cs typeface="Times New Roman" pitchFamily="18" charset="0"/>
            </a:rPr>
            <a:t> LẠI SƠ ĐỒ SHOP CÁC KHU VỰC</a:t>
          </a:r>
          <a:endParaRPr lang="en-US" sz="20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JN76"/>
  <sheetViews>
    <sheetView showGridLines="0" tabSelected="1" view="pageBreakPreview" topLeftCell="A23" zoomScale="55" zoomScaleNormal="70" zoomScaleSheetLayoutView="55" workbookViewId="0">
      <pane ySplit="4" topLeftCell="A56" activePane="bottomLeft" state="frozen"/>
      <selection activeCell="A23" sqref="A23"/>
      <selection pane="bottomLeft" activeCell="V67" sqref="V67"/>
    </sheetView>
  </sheetViews>
  <sheetFormatPr defaultColWidth="8.77734375" defaultRowHeight="16.8" outlineLevelRow="1" outlineLevelCol="1" x14ac:dyDescent="0.3"/>
  <cols>
    <col min="1" max="1" width="8.77734375" style="7"/>
    <col min="2" max="5" width="8.77734375" style="7" hidden="1" customWidth="1"/>
    <col min="6" max="6" width="28.44140625" style="7" bestFit="1" customWidth="1"/>
    <col min="7" max="7" width="63.77734375" style="7" customWidth="1"/>
    <col min="8" max="8" width="8.77734375" style="7"/>
    <col min="9" max="9" width="11.21875" style="34" customWidth="1"/>
    <col min="10" max="10" width="13.21875" style="34" customWidth="1"/>
    <col min="11" max="11" width="1" style="34" customWidth="1"/>
    <col min="12" max="12" width="10.5546875" style="35" customWidth="1" outlineLevel="1"/>
    <col min="13" max="13" width="12.44140625" style="35" customWidth="1" outlineLevel="1"/>
    <col min="14" max="14" width="10.5546875" style="35" customWidth="1" outlineLevel="1"/>
    <col min="15" max="15" width="12.77734375" style="35" customWidth="1" outlineLevel="1"/>
    <col min="16" max="16" width="10.5546875" style="35" customWidth="1" outlineLevel="1"/>
    <col min="17" max="17" width="11.77734375" style="35" customWidth="1" outlineLevel="1"/>
    <col min="18" max="24" width="10.5546875" style="35" customWidth="1" outlineLevel="1"/>
    <col min="25" max="25" width="9.77734375" style="35" customWidth="1" outlineLevel="1"/>
    <col min="26" max="26" width="10.5546875" style="35" customWidth="1" outlineLevel="1"/>
    <col min="27" max="27" width="1.44140625" style="35" customWidth="1" outlineLevel="1"/>
    <col min="28" max="28" width="10.5546875" style="35" customWidth="1" outlineLevel="1"/>
    <col min="29" max="29" width="1.44140625" style="35" customWidth="1" outlineLevel="1"/>
    <col min="30" max="30" width="10.5546875" style="35" customWidth="1" outlineLevel="1"/>
    <col min="31" max="31" width="1" style="35" customWidth="1" outlineLevel="1"/>
    <col min="32" max="32" width="9.77734375" style="35" customWidth="1" outlineLevel="1"/>
    <col min="33" max="33" width="17.77734375" style="34" customWidth="1"/>
    <col min="34" max="63" width="3.44140625" style="7" hidden="1" customWidth="1"/>
    <col min="64" max="64" width="21.44140625" style="29" customWidth="1"/>
    <col min="65" max="16384" width="8.77734375" style="7"/>
  </cols>
  <sheetData>
    <row r="10" spans="1:274" ht="16.5" x14ac:dyDescent="0.35"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274" ht="16.5" x14ac:dyDescent="0.35"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2"/>
      <c r="Z11" s="61"/>
      <c r="AA11" s="61"/>
      <c r="AB11" s="61"/>
      <c r="AC11" s="61"/>
      <c r="AD11" s="61"/>
      <c r="AE11" s="61"/>
      <c r="AF11" s="62"/>
    </row>
    <row r="12" spans="1:274" s="64" customFormat="1" ht="25.5" customHeight="1" x14ac:dyDescent="0.35">
      <c r="A12" s="104" t="s">
        <v>16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/>
      <c r="IQ12" s="104"/>
      <c r="IR12" s="104"/>
      <c r="IS12" s="104"/>
      <c r="IT12" s="104"/>
      <c r="IU12" s="104"/>
      <c r="IV12" s="104"/>
      <c r="IW12" s="104"/>
      <c r="IX12" s="104"/>
      <c r="IY12" s="104"/>
      <c r="IZ12" s="104"/>
      <c r="JA12" s="104"/>
      <c r="JB12" s="104"/>
      <c r="JC12" s="104"/>
      <c r="JD12" s="104"/>
      <c r="JE12" s="104"/>
      <c r="JF12" s="104"/>
      <c r="JG12" s="104"/>
      <c r="JH12" s="104"/>
      <c r="JI12" s="104"/>
      <c r="JJ12" s="104"/>
      <c r="JK12" s="104"/>
      <c r="JL12" s="104"/>
      <c r="JM12" s="104"/>
      <c r="JN12" s="104"/>
    </row>
    <row r="13" spans="1:274" s="64" customFormat="1" ht="16.5" x14ac:dyDescent="0.35">
      <c r="B13" s="65"/>
      <c r="C13" s="66"/>
      <c r="D13" s="65"/>
      <c r="F13" s="67"/>
      <c r="G13" s="68"/>
      <c r="H13" s="69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70"/>
      <c r="AH13" s="71"/>
      <c r="AI13" s="71"/>
      <c r="AJ13" s="71"/>
      <c r="AK13" s="72"/>
      <c r="AL13" s="73"/>
      <c r="BL13" s="74"/>
    </row>
    <row r="14" spans="1:274" s="78" customFormat="1" ht="17.25" customHeight="1" x14ac:dyDescent="0.3">
      <c r="A14" s="108" t="s">
        <v>29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6"/>
      <c r="BJ14" s="76"/>
      <c r="BK14" s="76"/>
      <c r="BL14" s="77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  <c r="GM14" s="108"/>
      <c r="GN14" s="108"/>
      <c r="GO14" s="108"/>
      <c r="GP14" s="108"/>
      <c r="GQ14" s="108"/>
      <c r="GR14" s="108"/>
      <c r="GS14" s="108"/>
      <c r="GT14" s="108"/>
      <c r="GU14" s="108"/>
      <c r="GV14" s="108"/>
      <c r="GW14" s="108"/>
      <c r="GX14" s="108"/>
      <c r="GY14" s="108"/>
      <c r="GZ14" s="108"/>
      <c r="HA14" s="108"/>
      <c r="HB14" s="108"/>
      <c r="HC14" s="108"/>
      <c r="HD14" s="108"/>
      <c r="HE14" s="108"/>
      <c r="HF14" s="108"/>
      <c r="HG14" s="108"/>
      <c r="HH14" s="108"/>
      <c r="HI14" s="108"/>
      <c r="HJ14" s="108"/>
      <c r="HK14" s="108"/>
      <c r="HL14" s="108"/>
      <c r="HM14" s="108"/>
      <c r="HN14" s="108"/>
      <c r="HO14" s="108"/>
      <c r="HP14" s="108"/>
      <c r="HQ14" s="108"/>
      <c r="HR14" s="108"/>
      <c r="HS14" s="108"/>
      <c r="HT14" s="108"/>
      <c r="HU14" s="108"/>
      <c r="HV14" s="108"/>
      <c r="HW14" s="108"/>
      <c r="HX14" s="108"/>
      <c r="HY14" s="108"/>
      <c r="HZ14" s="108"/>
      <c r="IA14" s="108"/>
      <c r="IB14" s="108"/>
      <c r="IC14" s="108"/>
      <c r="ID14" s="108"/>
      <c r="IE14" s="108"/>
      <c r="IF14" s="108"/>
      <c r="IG14" s="108"/>
      <c r="IH14" s="108"/>
      <c r="II14" s="108"/>
      <c r="IJ14" s="108"/>
      <c r="IK14" s="108"/>
      <c r="IL14" s="108"/>
      <c r="IM14" s="108"/>
      <c r="IN14" s="108"/>
      <c r="IO14" s="108"/>
      <c r="IP14" s="108"/>
      <c r="IQ14" s="108"/>
      <c r="IR14" s="108"/>
      <c r="IS14" s="108"/>
      <c r="IT14" s="108"/>
      <c r="IU14" s="108"/>
      <c r="IV14" s="108"/>
      <c r="IW14" s="108"/>
      <c r="IX14" s="108"/>
      <c r="IY14" s="108"/>
      <c r="IZ14" s="108"/>
      <c r="JA14" s="108"/>
      <c r="JB14" s="108"/>
      <c r="JC14" s="108"/>
      <c r="JD14" s="108"/>
      <c r="JE14" s="108"/>
      <c r="JF14" s="108"/>
      <c r="JG14" s="108"/>
      <c r="JH14" s="108"/>
      <c r="JI14" s="108"/>
      <c r="JJ14" s="108"/>
      <c r="JK14" s="108"/>
      <c r="JL14" s="108"/>
      <c r="JM14" s="108"/>
      <c r="JN14" s="108"/>
    </row>
    <row r="15" spans="1:274" s="78" customFormat="1" ht="17.25" customHeight="1" x14ac:dyDescent="0.3">
      <c r="A15" s="108" t="s">
        <v>30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76"/>
      <c r="BJ15" s="76"/>
      <c r="BK15" s="76"/>
      <c r="BL15" s="77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8"/>
      <c r="ED15" s="108"/>
      <c r="EE15" s="108"/>
      <c r="EF15" s="108"/>
      <c r="EG15" s="108"/>
      <c r="EH15" s="108"/>
      <c r="EI15" s="108"/>
      <c r="EJ15" s="108"/>
      <c r="EK15" s="108"/>
      <c r="EL15" s="108"/>
      <c r="EM15" s="108"/>
      <c r="EN15" s="108"/>
      <c r="EO15" s="108"/>
      <c r="EP15" s="108"/>
      <c r="EQ15" s="108"/>
      <c r="ER15" s="108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8"/>
      <c r="FF15" s="108"/>
      <c r="FG15" s="108"/>
      <c r="FH15" s="108"/>
      <c r="FI15" s="108"/>
      <c r="FJ15" s="108"/>
      <c r="FK15" s="108"/>
      <c r="FL15" s="108"/>
      <c r="FM15" s="108"/>
      <c r="FN15" s="108"/>
      <c r="FO15" s="108"/>
      <c r="FP15" s="108"/>
      <c r="FQ15" s="108"/>
      <c r="FR15" s="108"/>
      <c r="FS15" s="108"/>
      <c r="FT15" s="108"/>
      <c r="FU15" s="108"/>
      <c r="FV15" s="108"/>
      <c r="FW15" s="108"/>
      <c r="FX15" s="108"/>
      <c r="FY15" s="108"/>
      <c r="FZ15" s="108"/>
      <c r="GA15" s="108"/>
      <c r="GB15" s="108"/>
      <c r="GC15" s="108"/>
      <c r="GD15" s="108"/>
      <c r="GE15" s="108"/>
      <c r="GF15" s="108"/>
      <c r="GG15" s="108"/>
      <c r="GH15" s="108"/>
      <c r="GI15" s="108"/>
      <c r="GJ15" s="108"/>
      <c r="GK15" s="108"/>
      <c r="GL15" s="108"/>
      <c r="GM15" s="108"/>
      <c r="GN15" s="108"/>
      <c r="GO15" s="108"/>
      <c r="GP15" s="108"/>
      <c r="GQ15" s="108"/>
      <c r="GR15" s="108"/>
      <c r="GS15" s="108"/>
      <c r="GT15" s="108"/>
      <c r="GU15" s="108"/>
      <c r="GV15" s="108"/>
      <c r="GW15" s="108"/>
      <c r="GX15" s="108"/>
      <c r="GY15" s="108"/>
      <c r="GZ15" s="108"/>
      <c r="HA15" s="108"/>
      <c r="HB15" s="108"/>
      <c r="HC15" s="108"/>
      <c r="HD15" s="108"/>
      <c r="HE15" s="108"/>
      <c r="HF15" s="108"/>
      <c r="HG15" s="108"/>
      <c r="HH15" s="108"/>
      <c r="HI15" s="108"/>
      <c r="HJ15" s="108"/>
      <c r="HK15" s="108"/>
      <c r="HL15" s="108"/>
      <c r="HM15" s="108"/>
      <c r="HN15" s="108"/>
      <c r="HO15" s="108"/>
      <c r="HP15" s="108"/>
      <c r="HQ15" s="108"/>
      <c r="HR15" s="108"/>
      <c r="HS15" s="108"/>
      <c r="HT15" s="108"/>
      <c r="HU15" s="108"/>
      <c r="HV15" s="108"/>
      <c r="HW15" s="108"/>
      <c r="HX15" s="108"/>
      <c r="HY15" s="108"/>
      <c r="HZ15" s="108"/>
      <c r="IA15" s="108"/>
      <c r="IB15" s="108"/>
      <c r="IC15" s="108"/>
      <c r="ID15" s="108"/>
      <c r="IE15" s="108"/>
      <c r="IF15" s="108"/>
      <c r="IG15" s="108"/>
      <c r="IH15" s="108"/>
      <c r="II15" s="108"/>
      <c r="IJ15" s="108"/>
      <c r="IK15" s="108"/>
      <c r="IL15" s="108"/>
      <c r="IM15" s="108"/>
      <c r="IN15" s="108"/>
      <c r="IO15" s="108"/>
      <c r="IP15" s="108"/>
      <c r="IQ15" s="108"/>
      <c r="IR15" s="108"/>
      <c r="IS15" s="108"/>
      <c r="IT15" s="108"/>
      <c r="IU15" s="108"/>
      <c r="IV15" s="108"/>
      <c r="IW15" s="108"/>
      <c r="IX15" s="108"/>
      <c r="IY15" s="108"/>
      <c r="IZ15" s="108"/>
      <c r="JA15" s="108"/>
      <c r="JB15" s="108"/>
      <c r="JC15" s="108"/>
      <c r="JD15" s="108"/>
      <c r="JE15" s="108"/>
      <c r="JF15" s="108"/>
      <c r="JG15" s="108"/>
      <c r="JH15" s="108"/>
      <c r="JI15" s="108"/>
      <c r="JJ15" s="108"/>
      <c r="JK15" s="108"/>
      <c r="JL15" s="108"/>
      <c r="JM15" s="108"/>
      <c r="JN15" s="108"/>
    </row>
    <row r="16" spans="1:274" s="78" customFormat="1" ht="17.25" customHeight="1" x14ac:dyDescent="0.35">
      <c r="A16" s="108" t="s">
        <v>31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76"/>
      <c r="BJ16" s="76"/>
      <c r="BK16" s="76"/>
      <c r="BL16" s="77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/>
      <c r="EB16" s="108"/>
      <c r="EC16" s="108"/>
      <c r="ED16" s="108"/>
      <c r="EE16" s="108"/>
      <c r="EF16" s="108"/>
      <c r="EG16" s="108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  <c r="FJ16" s="108"/>
      <c r="FK16" s="108"/>
      <c r="FL16" s="108"/>
      <c r="FM16" s="108"/>
      <c r="FN16" s="108"/>
      <c r="FO16" s="108"/>
      <c r="FP16" s="108"/>
      <c r="FQ16" s="108"/>
      <c r="FR16" s="108"/>
      <c r="FS16" s="108"/>
      <c r="FT16" s="108"/>
      <c r="FU16" s="108"/>
      <c r="FV16" s="108"/>
      <c r="FW16" s="108"/>
      <c r="FX16" s="108"/>
      <c r="FY16" s="108"/>
      <c r="FZ16" s="108"/>
      <c r="GA16" s="108"/>
      <c r="GB16" s="108"/>
      <c r="GC16" s="108"/>
      <c r="GD16" s="108"/>
      <c r="GE16" s="108"/>
      <c r="GF16" s="108"/>
      <c r="GG16" s="108"/>
      <c r="GH16" s="108"/>
      <c r="GI16" s="108"/>
      <c r="GJ16" s="108"/>
      <c r="GK16" s="108"/>
      <c r="GL16" s="108"/>
      <c r="GM16" s="108"/>
      <c r="GN16" s="108"/>
      <c r="GO16" s="108"/>
      <c r="GP16" s="108"/>
      <c r="GQ16" s="108"/>
      <c r="GR16" s="108"/>
      <c r="GS16" s="108"/>
      <c r="GT16" s="108"/>
      <c r="GU16" s="108"/>
      <c r="GV16" s="108"/>
      <c r="GW16" s="108"/>
      <c r="GX16" s="108"/>
      <c r="GY16" s="108"/>
      <c r="GZ16" s="108"/>
      <c r="HA16" s="108"/>
      <c r="HB16" s="108"/>
      <c r="HC16" s="108"/>
      <c r="HD16" s="108"/>
      <c r="HE16" s="108"/>
      <c r="HF16" s="108"/>
      <c r="HG16" s="108"/>
      <c r="HH16" s="108"/>
      <c r="HI16" s="108"/>
      <c r="HJ16" s="108"/>
      <c r="HK16" s="108"/>
      <c r="HL16" s="108"/>
      <c r="HM16" s="108"/>
      <c r="HN16" s="108"/>
      <c r="HO16" s="108"/>
      <c r="HP16" s="108"/>
      <c r="HQ16" s="108"/>
      <c r="HR16" s="108"/>
      <c r="HS16" s="108"/>
      <c r="HT16" s="108"/>
      <c r="HU16" s="108"/>
      <c r="HV16" s="108"/>
      <c r="HW16" s="108"/>
      <c r="HX16" s="108"/>
      <c r="HY16" s="108"/>
      <c r="HZ16" s="108"/>
      <c r="IA16" s="108"/>
      <c r="IB16" s="108"/>
      <c r="IC16" s="108"/>
      <c r="ID16" s="108"/>
      <c r="IE16" s="108"/>
      <c r="IF16" s="108"/>
      <c r="IG16" s="108"/>
      <c r="IH16" s="108"/>
      <c r="II16" s="108"/>
      <c r="IJ16" s="108"/>
      <c r="IK16" s="108"/>
      <c r="IL16" s="108"/>
      <c r="IM16" s="108"/>
      <c r="IN16" s="108"/>
      <c r="IO16" s="108"/>
      <c r="IP16" s="108"/>
      <c r="IQ16" s="108"/>
      <c r="IR16" s="108"/>
      <c r="IS16" s="108"/>
      <c r="IT16" s="108"/>
      <c r="IU16" s="108"/>
      <c r="IV16" s="108"/>
      <c r="IW16" s="108"/>
      <c r="IX16" s="108"/>
      <c r="IY16" s="108"/>
      <c r="IZ16" s="108"/>
      <c r="JA16" s="108"/>
      <c r="JB16" s="108"/>
      <c r="JC16" s="108"/>
      <c r="JD16" s="108"/>
      <c r="JE16" s="108"/>
      <c r="JF16" s="108"/>
      <c r="JG16" s="108"/>
      <c r="JH16" s="108"/>
      <c r="JI16" s="108"/>
      <c r="JJ16" s="108"/>
      <c r="JK16" s="108"/>
      <c r="JL16" s="108"/>
      <c r="JM16" s="108"/>
      <c r="JN16" s="108"/>
    </row>
    <row r="17" spans="1:274" s="78" customFormat="1" ht="17.25" customHeight="1" x14ac:dyDescent="0.3">
      <c r="A17" s="108" t="s">
        <v>32</v>
      </c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76"/>
      <c r="BJ17" s="76"/>
      <c r="BK17" s="76"/>
      <c r="BL17" s="77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8"/>
      <c r="DO17" s="108"/>
      <c r="DP17" s="108"/>
      <c r="DQ17" s="108"/>
      <c r="DR17" s="108"/>
      <c r="DS17" s="108"/>
      <c r="DT17" s="108"/>
      <c r="DU17" s="108"/>
      <c r="DV17" s="108"/>
      <c r="DW17" s="108"/>
      <c r="DX17" s="108"/>
      <c r="DY17" s="108"/>
      <c r="DZ17" s="108"/>
      <c r="EA17" s="108"/>
      <c r="EB17" s="108"/>
      <c r="EC17" s="108"/>
      <c r="ED17" s="108"/>
      <c r="EE17" s="108"/>
      <c r="EF17" s="108"/>
      <c r="EG17" s="108"/>
      <c r="EH17" s="108"/>
      <c r="EI17" s="108"/>
      <c r="EJ17" s="108"/>
      <c r="EK17" s="108"/>
      <c r="EL17" s="108"/>
      <c r="EM17" s="108"/>
      <c r="EN17" s="108"/>
      <c r="EO17" s="108"/>
      <c r="EP17" s="108"/>
      <c r="EQ17" s="108"/>
      <c r="ER17" s="108"/>
      <c r="ES17" s="108"/>
      <c r="ET17" s="108"/>
      <c r="EU17" s="108"/>
      <c r="EV17" s="108"/>
      <c r="EW17" s="108"/>
      <c r="EX17" s="108"/>
      <c r="EY17" s="108"/>
      <c r="EZ17" s="108"/>
      <c r="FA17" s="108"/>
      <c r="FB17" s="108"/>
      <c r="FC17" s="108"/>
      <c r="FD17" s="108"/>
      <c r="FE17" s="108"/>
      <c r="FF17" s="108"/>
      <c r="FG17" s="108"/>
      <c r="FH17" s="108"/>
      <c r="FI17" s="108"/>
      <c r="FJ17" s="108"/>
      <c r="FK17" s="108"/>
      <c r="FL17" s="108"/>
      <c r="FM17" s="108"/>
      <c r="FN17" s="108"/>
      <c r="FO17" s="108"/>
      <c r="FP17" s="108"/>
      <c r="FQ17" s="108"/>
      <c r="FR17" s="108"/>
      <c r="FS17" s="108"/>
      <c r="FT17" s="108"/>
      <c r="FU17" s="108"/>
      <c r="FV17" s="108"/>
      <c r="FW17" s="108"/>
      <c r="FX17" s="108"/>
      <c r="FY17" s="108"/>
      <c r="FZ17" s="108"/>
      <c r="GA17" s="108"/>
      <c r="GB17" s="108"/>
      <c r="GC17" s="108"/>
      <c r="GD17" s="108"/>
      <c r="GE17" s="108"/>
      <c r="GF17" s="108"/>
      <c r="GG17" s="108"/>
      <c r="GH17" s="108"/>
      <c r="GI17" s="108"/>
      <c r="GJ17" s="108"/>
      <c r="GK17" s="108"/>
      <c r="GL17" s="108"/>
      <c r="GM17" s="108"/>
      <c r="GN17" s="108"/>
      <c r="GO17" s="108"/>
      <c r="GP17" s="108"/>
      <c r="GQ17" s="108"/>
      <c r="GR17" s="108"/>
      <c r="GS17" s="108"/>
      <c r="GT17" s="108"/>
      <c r="GU17" s="108"/>
      <c r="GV17" s="108"/>
      <c r="GW17" s="108"/>
      <c r="GX17" s="108"/>
      <c r="GY17" s="108"/>
      <c r="GZ17" s="108"/>
      <c r="HA17" s="108"/>
      <c r="HB17" s="108"/>
      <c r="HC17" s="108"/>
      <c r="HD17" s="108"/>
      <c r="HE17" s="108"/>
      <c r="HF17" s="108"/>
      <c r="HG17" s="108"/>
      <c r="HH17" s="108"/>
      <c r="HI17" s="108"/>
      <c r="HJ17" s="108"/>
      <c r="HK17" s="108"/>
      <c r="HL17" s="108"/>
      <c r="HM17" s="108"/>
      <c r="HN17" s="108"/>
      <c r="HO17" s="108"/>
      <c r="HP17" s="108"/>
      <c r="HQ17" s="108"/>
      <c r="HR17" s="108"/>
      <c r="HS17" s="108"/>
      <c r="HT17" s="108"/>
      <c r="HU17" s="108"/>
      <c r="HV17" s="108"/>
      <c r="HW17" s="108"/>
      <c r="HX17" s="108"/>
      <c r="HY17" s="108"/>
      <c r="HZ17" s="108"/>
      <c r="IA17" s="108"/>
      <c r="IB17" s="108"/>
      <c r="IC17" s="108"/>
      <c r="ID17" s="108"/>
      <c r="IE17" s="108"/>
      <c r="IF17" s="108"/>
      <c r="IG17" s="108"/>
      <c r="IH17" s="108"/>
      <c r="II17" s="108"/>
      <c r="IJ17" s="108"/>
      <c r="IK17" s="108"/>
      <c r="IL17" s="108"/>
      <c r="IM17" s="108"/>
      <c r="IN17" s="108"/>
      <c r="IO17" s="108"/>
      <c r="IP17" s="108"/>
      <c r="IQ17" s="108"/>
      <c r="IR17" s="108"/>
      <c r="IS17" s="108"/>
      <c r="IT17" s="108"/>
      <c r="IU17" s="108"/>
      <c r="IV17" s="108"/>
      <c r="IW17" s="108"/>
      <c r="IX17" s="108"/>
      <c r="IY17" s="108"/>
      <c r="IZ17" s="108"/>
      <c r="JA17" s="108"/>
      <c r="JB17" s="108"/>
      <c r="JC17" s="108"/>
      <c r="JD17" s="108"/>
      <c r="JE17" s="108"/>
      <c r="JF17" s="108"/>
      <c r="JG17" s="108"/>
      <c r="JH17" s="108"/>
      <c r="JI17" s="108"/>
      <c r="JJ17" s="108"/>
      <c r="JK17" s="108"/>
      <c r="JL17" s="108"/>
      <c r="JM17" s="108"/>
      <c r="JN17" s="108"/>
    </row>
    <row r="18" spans="1:274" s="78" customFormat="1" ht="17.25" customHeight="1" x14ac:dyDescent="0.35">
      <c r="A18" s="108" t="s">
        <v>54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76"/>
      <c r="BJ18" s="76"/>
      <c r="BK18" s="76"/>
      <c r="BL18" s="77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08"/>
      <c r="DM18" s="108"/>
      <c r="DN18" s="108"/>
      <c r="DO18" s="108"/>
      <c r="DP18" s="108"/>
      <c r="DQ18" s="108"/>
      <c r="DR18" s="108"/>
      <c r="DS18" s="108"/>
      <c r="DT18" s="108"/>
      <c r="DU18" s="108"/>
      <c r="DV18" s="108"/>
      <c r="DW18" s="108"/>
      <c r="DX18" s="108"/>
      <c r="DY18" s="108"/>
      <c r="DZ18" s="108"/>
      <c r="EA18" s="108"/>
      <c r="EB18" s="108"/>
      <c r="EC18" s="108"/>
      <c r="ED18" s="108"/>
      <c r="EE18" s="108"/>
      <c r="EF18" s="108"/>
      <c r="EG18" s="108"/>
      <c r="EH18" s="108"/>
      <c r="EI18" s="108"/>
      <c r="EJ18" s="108"/>
      <c r="EK18" s="108"/>
      <c r="EL18" s="108"/>
      <c r="EM18" s="108"/>
      <c r="EN18" s="108"/>
      <c r="EO18" s="108"/>
      <c r="EP18" s="108"/>
      <c r="EQ18" s="108"/>
      <c r="ER18" s="108"/>
      <c r="ES18" s="108"/>
      <c r="ET18" s="108"/>
      <c r="EU18" s="108"/>
      <c r="EV18" s="108"/>
      <c r="EW18" s="108"/>
      <c r="EX18" s="108"/>
      <c r="EY18" s="108"/>
      <c r="EZ18" s="108"/>
      <c r="FA18" s="108"/>
      <c r="FB18" s="108"/>
      <c r="FC18" s="108"/>
      <c r="FD18" s="108"/>
      <c r="FE18" s="108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108"/>
      <c r="GL18" s="108"/>
      <c r="GM18" s="108"/>
      <c r="GN18" s="108"/>
      <c r="GO18" s="108"/>
      <c r="GP18" s="108"/>
      <c r="GQ18" s="108"/>
      <c r="GR18" s="108"/>
      <c r="GS18" s="108"/>
      <c r="GT18" s="108"/>
      <c r="GU18" s="108"/>
      <c r="GV18" s="108"/>
      <c r="GW18" s="108"/>
      <c r="GX18" s="108"/>
      <c r="GY18" s="108"/>
      <c r="GZ18" s="108"/>
      <c r="HA18" s="108"/>
      <c r="HB18" s="108"/>
      <c r="HC18" s="108"/>
      <c r="HD18" s="108"/>
      <c r="HE18" s="108"/>
      <c r="HF18" s="108"/>
      <c r="HG18" s="108"/>
      <c r="HH18" s="108"/>
      <c r="HI18" s="108"/>
      <c r="HJ18" s="108"/>
      <c r="HK18" s="108"/>
      <c r="HL18" s="108"/>
      <c r="HM18" s="108"/>
      <c r="HN18" s="108"/>
      <c r="HO18" s="108"/>
      <c r="HP18" s="108"/>
      <c r="HQ18" s="108"/>
      <c r="HR18" s="108"/>
      <c r="HS18" s="108"/>
      <c r="HT18" s="108"/>
      <c r="HU18" s="108"/>
      <c r="HV18" s="108"/>
      <c r="HW18" s="108"/>
      <c r="HX18" s="108"/>
      <c r="HY18" s="108"/>
      <c r="HZ18" s="108"/>
      <c r="IA18" s="108"/>
      <c r="IB18" s="108"/>
      <c r="IC18" s="108"/>
      <c r="ID18" s="108"/>
      <c r="IE18" s="108"/>
      <c r="IF18" s="108"/>
      <c r="IG18" s="108"/>
      <c r="IH18" s="108"/>
      <c r="II18" s="108"/>
      <c r="IJ18" s="108"/>
      <c r="IK18" s="108"/>
      <c r="IL18" s="108"/>
      <c r="IM18" s="108"/>
      <c r="IN18" s="108"/>
      <c r="IO18" s="108"/>
      <c r="IP18" s="108"/>
      <c r="IQ18" s="108"/>
      <c r="IR18" s="108"/>
      <c r="IS18" s="108"/>
      <c r="IT18" s="108"/>
      <c r="IU18" s="108"/>
      <c r="IV18" s="108"/>
      <c r="IW18" s="108"/>
      <c r="IX18" s="108"/>
      <c r="IY18" s="108"/>
      <c r="IZ18" s="108"/>
      <c r="JA18" s="108"/>
      <c r="JB18" s="108"/>
      <c r="JC18" s="108"/>
      <c r="JD18" s="108"/>
      <c r="JE18" s="108"/>
      <c r="JF18" s="108"/>
      <c r="JG18" s="108"/>
      <c r="JH18" s="108"/>
      <c r="JI18" s="108"/>
      <c r="JJ18" s="108"/>
      <c r="JK18" s="108"/>
      <c r="JL18" s="108"/>
      <c r="JM18" s="108"/>
      <c r="JN18" s="108"/>
    </row>
    <row r="20" spans="1:274" ht="17.100000000000001" thickBot="1" x14ac:dyDescent="0.4"/>
    <row r="21" spans="1:274" s="6" customFormat="1" ht="27.6" customHeight="1" thickTop="1" thickBot="1" x14ac:dyDescent="0.4">
      <c r="G21" s="46"/>
      <c r="H21" s="48"/>
      <c r="I21" s="47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42" t="s">
        <v>55</v>
      </c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4" t="s">
        <v>27</v>
      </c>
      <c r="AY21" s="43"/>
      <c r="AZ21" s="43"/>
      <c r="BA21" s="43"/>
      <c r="BB21" s="43"/>
      <c r="BC21" s="43"/>
      <c r="BD21" s="128">
        <f ca="1">+TODAY()</f>
        <v>43583</v>
      </c>
      <c r="BE21" s="128"/>
      <c r="BF21" s="128"/>
      <c r="BG21" s="128"/>
      <c r="BH21" s="128"/>
      <c r="BI21" s="128"/>
      <c r="BJ21" s="128"/>
      <c r="BK21" s="129"/>
      <c r="BL21" s="45">
        <f ca="1">+NOW()</f>
        <v>43583.464040393519</v>
      </c>
      <c r="BM21" s="41"/>
    </row>
    <row r="22" spans="1:274" ht="17.55" hidden="1" thickTop="1" thickBot="1" x14ac:dyDescent="0.4"/>
    <row r="23" spans="1:274" s="2" customFormat="1" ht="29.1" customHeight="1" thickTop="1" x14ac:dyDescent="0.25">
      <c r="A23" s="109" t="s">
        <v>2</v>
      </c>
      <c r="B23" s="1"/>
      <c r="C23" s="1"/>
      <c r="D23" s="1"/>
      <c r="E23" s="1"/>
      <c r="F23" s="125" t="s">
        <v>56</v>
      </c>
      <c r="G23" s="111" t="s">
        <v>3</v>
      </c>
      <c r="H23" s="113" t="s">
        <v>4</v>
      </c>
      <c r="I23" s="117" t="s">
        <v>5</v>
      </c>
      <c r="J23" s="117" t="s">
        <v>6</v>
      </c>
      <c r="K23" s="87"/>
      <c r="L23" s="120" t="s">
        <v>20</v>
      </c>
      <c r="M23" s="121"/>
      <c r="N23" s="117"/>
      <c r="O23" s="117"/>
      <c r="P23" s="117"/>
      <c r="Q23" s="117"/>
      <c r="R23" s="117"/>
      <c r="S23" s="117"/>
      <c r="T23" s="117"/>
      <c r="U23" s="117"/>
      <c r="V23" s="117" t="s">
        <v>21</v>
      </c>
      <c r="W23" s="117"/>
      <c r="X23" s="117"/>
      <c r="Y23" s="117"/>
      <c r="Z23" s="117" t="s">
        <v>7</v>
      </c>
      <c r="AA23" s="117"/>
      <c r="AB23" s="117"/>
      <c r="AC23" s="117"/>
      <c r="AD23" s="117"/>
      <c r="AE23" s="117"/>
      <c r="AF23" s="117"/>
      <c r="AG23" s="117" t="s">
        <v>8</v>
      </c>
      <c r="AH23" s="119" t="s">
        <v>9</v>
      </c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06" t="s">
        <v>10</v>
      </c>
    </row>
    <row r="24" spans="1:274" s="2" customFormat="1" ht="14.55" customHeight="1" x14ac:dyDescent="0.25">
      <c r="A24" s="110"/>
      <c r="B24" s="3"/>
      <c r="C24" s="3"/>
      <c r="D24" s="3"/>
      <c r="E24" s="3"/>
      <c r="F24" s="126"/>
      <c r="G24" s="112"/>
      <c r="H24" s="114"/>
      <c r="I24" s="118"/>
      <c r="J24" s="118"/>
      <c r="K24" s="89"/>
      <c r="L24" s="123" t="s">
        <v>22</v>
      </c>
      <c r="M24" s="122"/>
      <c r="N24" s="124" t="s">
        <v>23</v>
      </c>
      <c r="O24" s="122"/>
      <c r="P24" s="124" t="s">
        <v>24</v>
      </c>
      <c r="Q24" s="122"/>
      <c r="R24" s="124" t="s">
        <v>25</v>
      </c>
      <c r="S24" s="122"/>
      <c r="T24" s="124" t="s">
        <v>26</v>
      </c>
      <c r="U24" s="122"/>
      <c r="V24" s="118" t="s">
        <v>23</v>
      </c>
      <c r="W24" s="118" t="s">
        <v>24</v>
      </c>
      <c r="X24" s="118" t="s">
        <v>25</v>
      </c>
      <c r="Y24" s="118" t="s">
        <v>26</v>
      </c>
      <c r="Z24" s="118" t="s">
        <v>23</v>
      </c>
      <c r="AA24" s="130"/>
      <c r="AB24" s="122" t="s">
        <v>24</v>
      </c>
      <c r="AC24" s="130"/>
      <c r="AD24" s="123" t="s">
        <v>25</v>
      </c>
      <c r="AE24" s="115"/>
      <c r="AF24" s="118" t="s">
        <v>26</v>
      </c>
      <c r="AG24" s="118"/>
      <c r="AH24" s="105" t="s">
        <v>11</v>
      </c>
      <c r="AI24" s="105"/>
      <c r="AJ24" s="105"/>
      <c r="AK24" s="105"/>
      <c r="AL24" s="105"/>
      <c r="AM24" s="105"/>
      <c r="AN24" s="105"/>
      <c r="AO24" s="105" t="s">
        <v>12</v>
      </c>
      <c r="AP24" s="105"/>
      <c r="AQ24" s="105"/>
      <c r="AR24" s="105"/>
      <c r="AS24" s="105"/>
      <c r="AT24" s="105"/>
      <c r="AU24" s="105"/>
      <c r="AV24" s="105" t="s">
        <v>13</v>
      </c>
      <c r="AW24" s="105"/>
      <c r="AX24" s="105"/>
      <c r="AY24" s="105"/>
      <c r="AZ24" s="105"/>
      <c r="BA24" s="105"/>
      <c r="BB24" s="105"/>
      <c r="BC24" s="105" t="s">
        <v>14</v>
      </c>
      <c r="BD24" s="105"/>
      <c r="BE24" s="105"/>
      <c r="BF24" s="105"/>
      <c r="BG24" s="105"/>
      <c r="BH24" s="105"/>
      <c r="BI24" s="105"/>
      <c r="BJ24" s="105" t="s">
        <v>15</v>
      </c>
      <c r="BK24" s="105"/>
      <c r="BL24" s="107"/>
    </row>
    <row r="25" spans="1:274" s="2" customFormat="1" ht="27.75" customHeight="1" x14ac:dyDescent="0.25">
      <c r="A25" s="110"/>
      <c r="B25" s="3"/>
      <c r="C25" s="3"/>
      <c r="D25" s="3"/>
      <c r="E25" s="3"/>
      <c r="F25" s="127"/>
      <c r="G25" s="112"/>
      <c r="H25" s="114"/>
      <c r="I25" s="118"/>
      <c r="J25" s="118"/>
      <c r="K25" s="88"/>
      <c r="L25" s="86" t="s">
        <v>35</v>
      </c>
      <c r="M25" s="82" t="s">
        <v>36</v>
      </c>
      <c r="N25" s="81" t="s">
        <v>35</v>
      </c>
      <c r="O25" s="57" t="s">
        <v>36</v>
      </c>
      <c r="P25" s="81" t="s">
        <v>35</v>
      </c>
      <c r="Q25" s="57" t="s">
        <v>36</v>
      </c>
      <c r="R25" s="81" t="s">
        <v>35</v>
      </c>
      <c r="S25" s="57" t="s">
        <v>36</v>
      </c>
      <c r="T25" s="81" t="s">
        <v>35</v>
      </c>
      <c r="U25" s="57" t="s">
        <v>36</v>
      </c>
      <c r="V25" s="118"/>
      <c r="W25" s="118"/>
      <c r="X25" s="118"/>
      <c r="Y25" s="118"/>
      <c r="Z25" s="118"/>
      <c r="AA25" s="131"/>
      <c r="AB25" s="122"/>
      <c r="AC25" s="131"/>
      <c r="AD25" s="123"/>
      <c r="AE25" s="116"/>
      <c r="AF25" s="118"/>
      <c r="AG25" s="118"/>
      <c r="AH25" s="4">
        <f>+I21</f>
        <v>0</v>
      </c>
      <c r="AI25" s="4">
        <f>+AH25+1</f>
        <v>1</v>
      </c>
      <c r="AJ25" s="4">
        <f t="shared" ref="AJ25:BK25" si="0">+AI25+1</f>
        <v>2</v>
      </c>
      <c r="AK25" s="4">
        <f t="shared" si="0"/>
        <v>3</v>
      </c>
      <c r="AL25" s="4">
        <f t="shared" si="0"/>
        <v>4</v>
      </c>
      <c r="AM25" s="4">
        <f t="shared" si="0"/>
        <v>5</v>
      </c>
      <c r="AN25" s="4">
        <f t="shared" si="0"/>
        <v>6</v>
      </c>
      <c r="AO25" s="4">
        <f t="shared" si="0"/>
        <v>7</v>
      </c>
      <c r="AP25" s="4">
        <f t="shared" si="0"/>
        <v>8</v>
      </c>
      <c r="AQ25" s="4">
        <f t="shared" si="0"/>
        <v>9</v>
      </c>
      <c r="AR25" s="4">
        <f t="shared" si="0"/>
        <v>10</v>
      </c>
      <c r="AS25" s="4">
        <f t="shared" si="0"/>
        <v>11</v>
      </c>
      <c r="AT25" s="4">
        <f t="shared" si="0"/>
        <v>12</v>
      </c>
      <c r="AU25" s="4">
        <f t="shared" si="0"/>
        <v>13</v>
      </c>
      <c r="AV25" s="4">
        <f t="shared" si="0"/>
        <v>14</v>
      </c>
      <c r="AW25" s="4">
        <f t="shared" si="0"/>
        <v>15</v>
      </c>
      <c r="AX25" s="4">
        <f t="shared" si="0"/>
        <v>16</v>
      </c>
      <c r="AY25" s="4">
        <f t="shared" si="0"/>
        <v>17</v>
      </c>
      <c r="AZ25" s="4">
        <f t="shared" si="0"/>
        <v>18</v>
      </c>
      <c r="BA25" s="4">
        <f t="shared" si="0"/>
        <v>19</v>
      </c>
      <c r="BB25" s="4">
        <f t="shared" si="0"/>
        <v>20</v>
      </c>
      <c r="BC25" s="4">
        <f t="shared" si="0"/>
        <v>21</v>
      </c>
      <c r="BD25" s="4">
        <f t="shared" si="0"/>
        <v>22</v>
      </c>
      <c r="BE25" s="4">
        <f t="shared" si="0"/>
        <v>23</v>
      </c>
      <c r="BF25" s="4">
        <f t="shared" si="0"/>
        <v>24</v>
      </c>
      <c r="BG25" s="4">
        <f t="shared" si="0"/>
        <v>25</v>
      </c>
      <c r="BH25" s="4">
        <f t="shared" si="0"/>
        <v>26</v>
      </c>
      <c r="BI25" s="4">
        <f t="shared" si="0"/>
        <v>27</v>
      </c>
      <c r="BJ25" s="4">
        <f t="shared" si="0"/>
        <v>28</v>
      </c>
      <c r="BK25" s="4">
        <f t="shared" si="0"/>
        <v>29</v>
      </c>
      <c r="BL25" s="107"/>
      <c r="BM25" s="5"/>
      <c r="BN25" s="5"/>
      <c r="BO25" s="5"/>
      <c r="BP25" s="5"/>
      <c r="BQ25" s="5"/>
      <c r="BR25" s="5"/>
    </row>
    <row r="26" spans="1:274" s="56" customFormat="1" ht="55.35" customHeight="1" x14ac:dyDescent="0.35">
      <c r="A26" s="49"/>
      <c r="B26" s="50"/>
      <c r="C26" s="50"/>
      <c r="D26" s="50"/>
      <c r="E26" s="50"/>
      <c r="F26" s="50"/>
      <c r="G26" s="91" t="s">
        <v>61</v>
      </c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83"/>
      <c r="AB26" s="84"/>
      <c r="AC26" s="83"/>
      <c r="AD26" s="85"/>
      <c r="AE26" s="84"/>
      <c r="AF26" s="51"/>
      <c r="AG26" s="51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3"/>
      <c r="BM26" s="54"/>
      <c r="BN26" s="54"/>
      <c r="BO26" s="54"/>
      <c r="BP26" s="55"/>
      <c r="BQ26" s="55"/>
      <c r="BR26" s="55"/>
    </row>
    <row r="27" spans="1:274" s="39" customFormat="1" ht="38.549999999999997" customHeight="1" x14ac:dyDescent="0.3">
      <c r="A27" s="40" t="s">
        <v>17</v>
      </c>
      <c r="B27" s="36"/>
      <c r="C27" s="36"/>
      <c r="D27" s="36"/>
      <c r="E27" s="36"/>
      <c r="F27" s="36"/>
      <c r="G27" s="36" t="s">
        <v>18</v>
      </c>
      <c r="H27" s="37" t="str">
        <f t="shared" ref="H27" si="1">+IF(AG27&lt;&gt;0,100%,"")</f>
        <v/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96"/>
      <c r="AB27" s="97"/>
      <c r="AC27" s="96"/>
      <c r="AD27" s="98"/>
      <c r="AE27" s="97"/>
      <c r="AF27" s="38"/>
      <c r="AG27" s="38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99"/>
    </row>
    <row r="28" spans="1:274" s="8" customFormat="1" ht="72" customHeight="1" outlineLevel="1" x14ac:dyDescent="0.3">
      <c r="A28" s="9">
        <v>1</v>
      </c>
      <c r="B28" s="10" t="s">
        <v>0</v>
      </c>
      <c r="C28" s="10"/>
      <c r="D28" s="10" t="s">
        <v>1</v>
      </c>
      <c r="E28" s="10">
        <v>2</v>
      </c>
      <c r="F28" s="92" t="s">
        <v>57</v>
      </c>
      <c r="G28" s="101" t="s">
        <v>37</v>
      </c>
      <c r="H28" s="30"/>
      <c r="I28" s="80">
        <v>43550</v>
      </c>
      <c r="J28" s="16">
        <v>43553</v>
      </c>
      <c r="K28" s="16"/>
      <c r="L28" s="16" t="s">
        <v>34</v>
      </c>
      <c r="M28" s="16">
        <v>43577</v>
      </c>
      <c r="N28" s="16"/>
      <c r="O28" s="16"/>
      <c r="P28" s="16"/>
      <c r="Q28" s="16"/>
      <c r="R28" s="16"/>
      <c r="S28" s="16"/>
      <c r="T28" s="16"/>
      <c r="U28" s="16"/>
      <c r="V28" s="16">
        <v>43591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 t="b">
        <f>+IF($L28="A",$M28,IF($N28="A",$O28,IF($P28="A",$Q28,IF($R28="A",$S28,IF($T28="A",$U28)))))</f>
        <v>0</v>
      </c>
      <c r="AH28" s="13"/>
      <c r="AI28" s="13"/>
      <c r="AJ28" s="13"/>
      <c r="AK28" s="13"/>
      <c r="AL28" s="15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79"/>
    </row>
    <row r="29" spans="1:274" s="8" customFormat="1" ht="72" customHeight="1" outlineLevel="1" x14ac:dyDescent="0.3">
      <c r="A29" s="9">
        <v>2</v>
      </c>
      <c r="B29" s="10"/>
      <c r="C29" s="10"/>
      <c r="D29" s="10"/>
      <c r="E29" s="10"/>
      <c r="F29" s="92" t="s">
        <v>58</v>
      </c>
      <c r="G29" s="102"/>
      <c r="H29" s="30"/>
      <c r="I29" s="80">
        <v>43550</v>
      </c>
      <c r="J29" s="16">
        <v>43553</v>
      </c>
      <c r="K29" s="16"/>
      <c r="L29" s="16" t="s">
        <v>34</v>
      </c>
      <c r="M29" s="16">
        <v>43577</v>
      </c>
      <c r="N29" s="16"/>
      <c r="O29" s="16"/>
      <c r="P29" s="16"/>
      <c r="Q29" s="16"/>
      <c r="R29" s="16"/>
      <c r="S29" s="16"/>
      <c r="T29" s="16"/>
      <c r="U29" s="16"/>
      <c r="V29" s="16">
        <v>43591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3"/>
      <c r="AI29" s="13"/>
      <c r="AJ29" s="13"/>
      <c r="AK29" s="13"/>
      <c r="AL29" s="15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79"/>
    </row>
    <row r="30" spans="1:274" s="8" customFormat="1" ht="72" customHeight="1" outlineLevel="1" x14ac:dyDescent="0.3">
      <c r="A30" s="9">
        <v>3</v>
      </c>
      <c r="B30" s="10"/>
      <c r="C30" s="10"/>
      <c r="D30" s="10"/>
      <c r="E30" s="10"/>
      <c r="F30" s="92" t="s">
        <v>59</v>
      </c>
      <c r="G30" s="102"/>
      <c r="H30" s="30"/>
      <c r="I30" s="80">
        <v>43550</v>
      </c>
      <c r="J30" s="16">
        <v>43553</v>
      </c>
      <c r="K30" s="16"/>
      <c r="L30" s="16" t="s">
        <v>34</v>
      </c>
      <c r="M30" s="16">
        <v>43577</v>
      </c>
      <c r="N30" s="16"/>
      <c r="O30" s="16"/>
      <c r="P30" s="16"/>
      <c r="Q30" s="16"/>
      <c r="R30" s="16"/>
      <c r="S30" s="16"/>
      <c r="T30" s="16"/>
      <c r="U30" s="16"/>
      <c r="V30" s="16">
        <v>43591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3"/>
      <c r="AI30" s="13"/>
      <c r="AJ30" s="13"/>
      <c r="AK30" s="13"/>
      <c r="AL30" s="15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79"/>
    </row>
    <row r="31" spans="1:274" s="8" customFormat="1" ht="72" customHeight="1" outlineLevel="1" x14ac:dyDescent="0.3">
      <c r="A31" s="9">
        <v>4</v>
      </c>
      <c r="B31" s="10"/>
      <c r="C31" s="10"/>
      <c r="D31" s="10"/>
      <c r="E31" s="10"/>
      <c r="F31" s="92" t="s">
        <v>60</v>
      </c>
      <c r="G31" s="102"/>
      <c r="H31" s="30"/>
      <c r="I31" s="80">
        <v>43550</v>
      </c>
      <c r="J31" s="16">
        <v>43553</v>
      </c>
      <c r="K31" s="16"/>
      <c r="L31" s="16" t="s">
        <v>34</v>
      </c>
      <c r="M31" s="16">
        <v>43577</v>
      </c>
      <c r="N31" s="16"/>
      <c r="O31" s="16"/>
      <c r="P31" s="16"/>
      <c r="Q31" s="16"/>
      <c r="R31" s="16"/>
      <c r="S31" s="16"/>
      <c r="T31" s="16"/>
      <c r="U31" s="16"/>
      <c r="V31" s="16">
        <v>43591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3"/>
      <c r="AI31" s="13"/>
      <c r="AJ31" s="13"/>
      <c r="AK31" s="13"/>
      <c r="AL31" s="15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79"/>
    </row>
    <row r="32" spans="1:274" s="8" customFormat="1" ht="72" customHeight="1" outlineLevel="1" x14ac:dyDescent="0.3">
      <c r="A32" s="9">
        <v>5</v>
      </c>
      <c r="B32" s="10"/>
      <c r="C32" s="10"/>
      <c r="D32" s="10"/>
      <c r="E32" s="10"/>
      <c r="F32" s="92" t="s">
        <v>79</v>
      </c>
      <c r="G32" s="103"/>
      <c r="H32" s="30"/>
      <c r="I32" s="80">
        <v>43550</v>
      </c>
      <c r="J32" s="16">
        <v>43553</v>
      </c>
      <c r="K32" s="16"/>
      <c r="L32" s="16" t="s">
        <v>34</v>
      </c>
      <c r="M32" s="16">
        <v>43577</v>
      </c>
      <c r="N32" s="16"/>
      <c r="O32" s="16"/>
      <c r="P32" s="16"/>
      <c r="Q32" s="16"/>
      <c r="R32" s="16"/>
      <c r="S32" s="16"/>
      <c r="T32" s="16"/>
      <c r="U32" s="16"/>
      <c r="V32" s="16">
        <v>43591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3"/>
      <c r="AI32" s="13"/>
      <c r="AJ32" s="13"/>
      <c r="AK32" s="13"/>
      <c r="AL32" s="15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79"/>
    </row>
    <row r="33" spans="1:64" s="8" customFormat="1" ht="72" customHeight="1" outlineLevel="1" x14ac:dyDescent="0.3">
      <c r="A33" s="9">
        <v>6</v>
      </c>
      <c r="B33" s="10"/>
      <c r="C33" s="10"/>
      <c r="D33" s="10"/>
      <c r="E33" s="10"/>
      <c r="F33" s="92" t="s">
        <v>80</v>
      </c>
      <c r="G33" s="101" t="s">
        <v>38</v>
      </c>
      <c r="H33" s="30"/>
      <c r="I33" s="80">
        <v>43550</v>
      </c>
      <c r="J33" s="16">
        <v>43553</v>
      </c>
      <c r="K33" s="16"/>
      <c r="L33" s="16" t="s">
        <v>34</v>
      </c>
      <c r="M33" s="16">
        <v>43577</v>
      </c>
      <c r="N33" s="16"/>
      <c r="O33" s="16"/>
      <c r="P33" s="16"/>
      <c r="Q33" s="16"/>
      <c r="R33" s="16"/>
      <c r="S33" s="16"/>
      <c r="T33" s="16"/>
      <c r="U33" s="16"/>
      <c r="V33" s="16">
        <v>43591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3"/>
      <c r="AI33" s="13"/>
      <c r="AJ33" s="13"/>
      <c r="AK33" s="13"/>
      <c r="AL33" s="15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79"/>
    </row>
    <row r="34" spans="1:64" s="8" customFormat="1" ht="72" customHeight="1" outlineLevel="1" x14ac:dyDescent="0.3">
      <c r="A34" s="9">
        <v>7</v>
      </c>
      <c r="B34" s="10"/>
      <c r="C34" s="10"/>
      <c r="D34" s="10"/>
      <c r="E34" s="10"/>
      <c r="F34" s="92" t="s">
        <v>81</v>
      </c>
      <c r="G34" s="102"/>
      <c r="H34" s="30"/>
      <c r="I34" s="80">
        <v>43550</v>
      </c>
      <c r="J34" s="16">
        <v>43553</v>
      </c>
      <c r="K34" s="16"/>
      <c r="L34" s="16" t="s">
        <v>34</v>
      </c>
      <c r="M34" s="16">
        <v>43577</v>
      </c>
      <c r="N34" s="16"/>
      <c r="O34" s="16"/>
      <c r="P34" s="16"/>
      <c r="Q34" s="16"/>
      <c r="R34" s="16"/>
      <c r="S34" s="16"/>
      <c r="T34" s="16"/>
      <c r="U34" s="16"/>
      <c r="V34" s="16">
        <v>43591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3"/>
      <c r="AI34" s="13"/>
      <c r="AJ34" s="13"/>
      <c r="AK34" s="13"/>
      <c r="AL34" s="15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79"/>
    </row>
    <row r="35" spans="1:64" s="8" customFormat="1" ht="72" customHeight="1" outlineLevel="1" x14ac:dyDescent="0.3">
      <c r="A35" s="9">
        <v>8</v>
      </c>
      <c r="B35" s="10"/>
      <c r="C35" s="10"/>
      <c r="D35" s="10"/>
      <c r="E35" s="10"/>
      <c r="F35" s="92" t="s">
        <v>82</v>
      </c>
      <c r="G35" s="102"/>
      <c r="H35" s="30"/>
      <c r="I35" s="80">
        <v>43550</v>
      </c>
      <c r="J35" s="16">
        <v>43553</v>
      </c>
      <c r="K35" s="16"/>
      <c r="L35" s="16" t="s">
        <v>34</v>
      </c>
      <c r="M35" s="16">
        <v>43577</v>
      </c>
      <c r="N35" s="16"/>
      <c r="O35" s="16"/>
      <c r="P35" s="16"/>
      <c r="Q35" s="16"/>
      <c r="R35" s="16"/>
      <c r="S35" s="16"/>
      <c r="T35" s="16"/>
      <c r="U35" s="16"/>
      <c r="V35" s="16">
        <v>43591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3"/>
      <c r="AI35" s="13"/>
      <c r="AJ35" s="13"/>
      <c r="AK35" s="13"/>
      <c r="AL35" s="15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79"/>
    </row>
    <row r="36" spans="1:64" s="8" customFormat="1" ht="72" customHeight="1" outlineLevel="1" x14ac:dyDescent="0.3">
      <c r="A36" s="9">
        <v>9</v>
      </c>
      <c r="B36" s="10"/>
      <c r="C36" s="10"/>
      <c r="D36" s="10"/>
      <c r="E36" s="10"/>
      <c r="F36" s="92" t="s">
        <v>83</v>
      </c>
      <c r="G36" s="102"/>
      <c r="H36" s="30"/>
      <c r="I36" s="80">
        <v>43550</v>
      </c>
      <c r="J36" s="16">
        <v>43553</v>
      </c>
      <c r="K36" s="16"/>
      <c r="L36" s="16" t="s">
        <v>34</v>
      </c>
      <c r="M36" s="16">
        <v>43577</v>
      </c>
      <c r="N36" s="16"/>
      <c r="O36" s="16"/>
      <c r="P36" s="16"/>
      <c r="Q36" s="16"/>
      <c r="R36" s="16"/>
      <c r="S36" s="16"/>
      <c r="T36" s="16"/>
      <c r="U36" s="16"/>
      <c r="V36" s="16">
        <v>43591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3"/>
      <c r="AI36" s="13"/>
      <c r="AJ36" s="13"/>
      <c r="AK36" s="13"/>
      <c r="AL36" s="15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79"/>
    </row>
    <row r="37" spans="1:64" s="8" customFormat="1" ht="72" customHeight="1" outlineLevel="1" x14ac:dyDescent="0.3">
      <c r="A37" s="9">
        <v>10</v>
      </c>
      <c r="B37" s="10"/>
      <c r="C37" s="10"/>
      <c r="D37" s="10"/>
      <c r="E37" s="10"/>
      <c r="F37" s="92" t="s">
        <v>84</v>
      </c>
      <c r="G37" s="102"/>
      <c r="H37" s="30"/>
      <c r="I37" s="80">
        <v>43550</v>
      </c>
      <c r="J37" s="16">
        <v>43553</v>
      </c>
      <c r="K37" s="16"/>
      <c r="L37" s="16" t="s">
        <v>34</v>
      </c>
      <c r="M37" s="16">
        <v>43577</v>
      </c>
      <c r="N37" s="16"/>
      <c r="O37" s="16"/>
      <c r="P37" s="16"/>
      <c r="Q37" s="16"/>
      <c r="R37" s="16"/>
      <c r="S37" s="16"/>
      <c r="T37" s="16"/>
      <c r="U37" s="16"/>
      <c r="V37" s="16">
        <v>43591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3"/>
      <c r="AI37" s="13"/>
      <c r="AJ37" s="13"/>
      <c r="AK37" s="13"/>
      <c r="AL37" s="15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79"/>
    </row>
    <row r="38" spans="1:64" s="8" customFormat="1" ht="72" customHeight="1" outlineLevel="1" x14ac:dyDescent="0.3">
      <c r="A38" s="9">
        <v>11</v>
      </c>
      <c r="B38" s="10"/>
      <c r="C38" s="10"/>
      <c r="D38" s="10"/>
      <c r="E38" s="10"/>
      <c r="F38" s="92" t="s">
        <v>85</v>
      </c>
      <c r="G38" s="102"/>
      <c r="H38" s="30"/>
      <c r="I38" s="80">
        <v>43550</v>
      </c>
      <c r="J38" s="16">
        <v>43553</v>
      </c>
      <c r="K38" s="16"/>
      <c r="L38" s="16" t="s">
        <v>34</v>
      </c>
      <c r="M38" s="16">
        <v>43577</v>
      </c>
      <c r="N38" s="16"/>
      <c r="O38" s="16"/>
      <c r="P38" s="16"/>
      <c r="Q38" s="16"/>
      <c r="R38" s="16"/>
      <c r="S38" s="16"/>
      <c r="T38" s="16"/>
      <c r="U38" s="16"/>
      <c r="V38" s="16">
        <v>43591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3"/>
      <c r="AI38" s="13"/>
      <c r="AJ38" s="13"/>
      <c r="AK38" s="13"/>
      <c r="AL38" s="15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79"/>
    </row>
    <row r="39" spans="1:64" s="8" customFormat="1" ht="72" customHeight="1" outlineLevel="1" x14ac:dyDescent="0.3">
      <c r="A39" s="9">
        <v>12</v>
      </c>
      <c r="B39" s="10"/>
      <c r="C39" s="10"/>
      <c r="D39" s="10"/>
      <c r="E39" s="10"/>
      <c r="F39" s="92" t="s">
        <v>86</v>
      </c>
      <c r="G39" s="102"/>
      <c r="H39" s="30"/>
      <c r="I39" s="80">
        <v>43550</v>
      </c>
      <c r="J39" s="16">
        <v>43553</v>
      </c>
      <c r="K39" s="16"/>
      <c r="L39" s="16" t="s">
        <v>34</v>
      </c>
      <c r="M39" s="16">
        <v>43577</v>
      </c>
      <c r="N39" s="16"/>
      <c r="O39" s="16"/>
      <c r="P39" s="16"/>
      <c r="Q39" s="16"/>
      <c r="R39" s="16"/>
      <c r="S39" s="16"/>
      <c r="T39" s="16"/>
      <c r="U39" s="16"/>
      <c r="V39" s="16">
        <v>43591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3"/>
      <c r="AI39" s="13"/>
      <c r="AJ39" s="13"/>
      <c r="AK39" s="13"/>
      <c r="AL39" s="15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79"/>
    </row>
    <row r="40" spans="1:64" s="8" customFormat="1" ht="72" customHeight="1" outlineLevel="1" x14ac:dyDescent="0.3">
      <c r="A40" s="9">
        <v>13</v>
      </c>
      <c r="B40" s="10"/>
      <c r="C40" s="10"/>
      <c r="D40" s="10"/>
      <c r="E40" s="10"/>
      <c r="F40" s="92" t="s">
        <v>87</v>
      </c>
      <c r="G40" s="101" t="s">
        <v>39</v>
      </c>
      <c r="H40" s="30"/>
      <c r="I40" s="80">
        <v>43550</v>
      </c>
      <c r="J40" s="16">
        <v>43553</v>
      </c>
      <c r="K40" s="16"/>
      <c r="L40" s="16" t="s">
        <v>34</v>
      </c>
      <c r="M40" s="16">
        <v>43577</v>
      </c>
      <c r="N40" s="16"/>
      <c r="O40" s="16"/>
      <c r="P40" s="16"/>
      <c r="Q40" s="16"/>
      <c r="R40" s="16"/>
      <c r="S40" s="16"/>
      <c r="T40" s="16"/>
      <c r="U40" s="16"/>
      <c r="V40" s="16">
        <v>43591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3"/>
      <c r="AI40" s="13"/>
      <c r="AJ40" s="13"/>
      <c r="AK40" s="13"/>
      <c r="AL40" s="15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79"/>
    </row>
    <row r="41" spans="1:64" s="8" customFormat="1" ht="72" customHeight="1" outlineLevel="1" x14ac:dyDescent="0.3">
      <c r="A41" s="9">
        <v>14</v>
      </c>
      <c r="B41" s="10"/>
      <c r="C41" s="10"/>
      <c r="D41" s="10"/>
      <c r="E41" s="10"/>
      <c r="F41" s="92" t="s">
        <v>88</v>
      </c>
      <c r="G41" s="102"/>
      <c r="H41" s="30"/>
      <c r="I41" s="80">
        <v>43550</v>
      </c>
      <c r="J41" s="16">
        <v>43553</v>
      </c>
      <c r="K41" s="16"/>
      <c r="L41" s="16" t="s">
        <v>34</v>
      </c>
      <c r="M41" s="16">
        <v>43577</v>
      </c>
      <c r="N41" s="16"/>
      <c r="O41" s="16"/>
      <c r="P41" s="16"/>
      <c r="Q41" s="16"/>
      <c r="R41" s="16"/>
      <c r="S41" s="16"/>
      <c r="T41" s="16"/>
      <c r="U41" s="16"/>
      <c r="V41" s="16">
        <v>43591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3"/>
      <c r="AI41" s="13"/>
      <c r="AJ41" s="13"/>
      <c r="AK41" s="13"/>
      <c r="AL41" s="15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79"/>
    </row>
    <row r="42" spans="1:64" s="8" customFormat="1" ht="72" customHeight="1" outlineLevel="1" x14ac:dyDescent="0.3">
      <c r="A42" s="9">
        <v>15</v>
      </c>
      <c r="B42" s="10"/>
      <c r="C42" s="10"/>
      <c r="D42" s="10"/>
      <c r="E42" s="10"/>
      <c r="F42" s="92" t="s">
        <v>89</v>
      </c>
      <c r="G42" s="102"/>
      <c r="H42" s="30"/>
      <c r="I42" s="80">
        <v>43550</v>
      </c>
      <c r="J42" s="16">
        <v>43553</v>
      </c>
      <c r="K42" s="16"/>
      <c r="L42" s="16" t="s">
        <v>34</v>
      </c>
      <c r="M42" s="16">
        <v>43577</v>
      </c>
      <c r="N42" s="16"/>
      <c r="O42" s="16"/>
      <c r="P42" s="16"/>
      <c r="Q42" s="16"/>
      <c r="R42" s="16"/>
      <c r="S42" s="16"/>
      <c r="T42" s="16"/>
      <c r="U42" s="16"/>
      <c r="V42" s="16">
        <v>43591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3"/>
      <c r="AI42" s="13"/>
      <c r="AJ42" s="13"/>
      <c r="AK42" s="13"/>
      <c r="AL42" s="15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79"/>
    </row>
    <row r="43" spans="1:64" s="8" customFormat="1" ht="72" customHeight="1" outlineLevel="1" x14ac:dyDescent="0.3">
      <c r="A43" s="9">
        <v>16</v>
      </c>
      <c r="B43" s="10"/>
      <c r="C43" s="10"/>
      <c r="D43" s="10"/>
      <c r="E43" s="10"/>
      <c r="F43" s="92" t="s">
        <v>90</v>
      </c>
      <c r="G43" s="102"/>
      <c r="H43" s="30"/>
      <c r="I43" s="80">
        <v>43550</v>
      </c>
      <c r="J43" s="16">
        <v>43553</v>
      </c>
      <c r="K43" s="16"/>
      <c r="L43" s="16" t="s">
        <v>34</v>
      </c>
      <c r="M43" s="16">
        <v>43577</v>
      </c>
      <c r="N43" s="16"/>
      <c r="O43" s="16"/>
      <c r="P43" s="16"/>
      <c r="Q43" s="16"/>
      <c r="R43" s="16"/>
      <c r="S43" s="16"/>
      <c r="T43" s="16"/>
      <c r="U43" s="16"/>
      <c r="V43" s="16">
        <v>43591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3"/>
      <c r="AI43" s="13"/>
      <c r="AJ43" s="13"/>
      <c r="AK43" s="13"/>
      <c r="AL43" s="15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79"/>
    </row>
    <row r="44" spans="1:64" s="8" customFormat="1" ht="72" customHeight="1" outlineLevel="1" x14ac:dyDescent="0.3">
      <c r="A44" s="9">
        <v>17</v>
      </c>
      <c r="B44" s="10"/>
      <c r="C44" s="10"/>
      <c r="D44" s="10"/>
      <c r="E44" s="10"/>
      <c r="F44" s="92" t="s">
        <v>91</v>
      </c>
      <c r="G44" s="102"/>
      <c r="H44" s="30"/>
      <c r="I44" s="80">
        <v>43550</v>
      </c>
      <c r="J44" s="16">
        <v>43553</v>
      </c>
      <c r="K44" s="16"/>
      <c r="L44" s="16" t="s">
        <v>34</v>
      </c>
      <c r="M44" s="16">
        <v>43577</v>
      </c>
      <c r="N44" s="16"/>
      <c r="O44" s="16"/>
      <c r="P44" s="16"/>
      <c r="Q44" s="16"/>
      <c r="R44" s="16"/>
      <c r="S44" s="16"/>
      <c r="T44" s="16"/>
      <c r="U44" s="16"/>
      <c r="V44" s="16">
        <v>43591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3"/>
      <c r="AI44" s="13"/>
      <c r="AJ44" s="13"/>
      <c r="AK44" s="13"/>
      <c r="AL44" s="15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79"/>
    </row>
    <row r="45" spans="1:64" s="8" customFormat="1" ht="72" customHeight="1" outlineLevel="1" x14ac:dyDescent="0.3">
      <c r="A45" s="9">
        <v>18</v>
      </c>
      <c r="B45" s="10"/>
      <c r="C45" s="10"/>
      <c r="D45" s="10"/>
      <c r="E45" s="10"/>
      <c r="F45" s="92" t="s">
        <v>92</v>
      </c>
      <c r="G45" s="102"/>
      <c r="H45" s="30"/>
      <c r="I45" s="80">
        <v>43550</v>
      </c>
      <c r="J45" s="16">
        <v>43553</v>
      </c>
      <c r="K45" s="16"/>
      <c r="L45" s="16" t="s">
        <v>34</v>
      </c>
      <c r="M45" s="16">
        <v>43577</v>
      </c>
      <c r="N45" s="16"/>
      <c r="O45" s="16"/>
      <c r="P45" s="16"/>
      <c r="Q45" s="16"/>
      <c r="R45" s="16"/>
      <c r="S45" s="16"/>
      <c r="T45" s="16"/>
      <c r="U45" s="16"/>
      <c r="V45" s="16">
        <v>43591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3"/>
      <c r="AI45" s="13"/>
      <c r="AJ45" s="13"/>
      <c r="AK45" s="13"/>
      <c r="AL45" s="15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79"/>
    </row>
    <row r="46" spans="1:64" s="8" customFormat="1" ht="72" customHeight="1" outlineLevel="1" x14ac:dyDescent="0.3">
      <c r="A46" s="9">
        <v>19</v>
      </c>
      <c r="B46" s="10"/>
      <c r="C46" s="10"/>
      <c r="D46" s="10"/>
      <c r="E46" s="10"/>
      <c r="F46" s="92" t="s">
        <v>93</v>
      </c>
      <c r="G46" s="102"/>
      <c r="H46" s="30"/>
      <c r="I46" s="80">
        <v>43550</v>
      </c>
      <c r="J46" s="16">
        <v>43553</v>
      </c>
      <c r="K46" s="16"/>
      <c r="L46" s="16" t="s">
        <v>34</v>
      </c>
      <c r="M46" s="16">
        <v>43577</v>
      </c>
      <c r="N46" s="16"/>
      <c r="O46" s="16"/>
      <c r="P46" s="16"/>
      <c r="Q46" s="16"/>
      <c r="R46" s="16"/>
      <c r="S46" s="16"/>
      <c r="T46" s="16"/>
      <c r="U46" s="16"/>
      <c r="V46" s="16">
        <v>43591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3"/>
      <c r="AI46" s="13"/>
      <c r="AJ46" s="13"/>
      <c r="AK46" s="13"/>
      <c r="AL46" s="15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79"/>
    </row>
    <row r="47" spans="1:64" s="8" customFormat="1" ht="72" customHeight="1" outlineLevel="1" x14ac:dyDescent="0.3">
      <c r="A47" s="9">
        <v>20</v>
      </c>
      <c r="B47" s="10"/>
      <c r="C47" s="10"/>
      <c r="D47" s="10"/>
      <c r="E47" s="10"/>
      <c r="F47" s="92" t="s">
        <v>94</v>
      </c>
      <c r="G47" s="102"/>
      <c r="H47" s="30"/>
      <c r="I47" s="80">
        <v>43550</v>
      </c>
      <c r="J47" s="16">
        <v>43553</v>
      </c>
      <c r="K47" s="16"/>
      <c r="L47" s="16" t="s">
        <v>34</v>
      </c>
      <c r="M47" s="16">
        <v>43577</v>
      </c>
      <c r="N47" s="16"/>
      <c r="O47" s="16"/>
      <c r="P47" s="16"/>
      <c r="Q47" s="16"/>
      <c r="R47" s="16"/>
      <c r="S47" s="16"/>
      <c r="T47" s="16"/>
      <c r="U47" s="16"/>
      <c r="V47" s="16">
        <v>43591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3"/>
      <c r="AI47" s="13"/>
      <c r="AJ47" s="13"/>
      <c r="AK47" s="13"/>
      <c r="AL47" s="15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79"/>
    </row>
    <row r="48" spans="1:64" s="8" customFormat="1" ht="72" customHeight="1" outlineLevel="1" x14ac:dyDescent="0.3">
      <c r="A48" s="9">
        <v>21</v>
      </c>
      <c r="B48" s="10"/>
      <c r="C48" s="10"/>
      <c r="D48" s="10"/>
      <c r="E48" s="10"/>
      <c r="F48" s="92" t="s">
        <v>95</v>
      </c>
      <c r="G48" s="102"/>
      <c r="H48" s="30"/>
      <c r="I48" s="80">
        <v>43550</v>
      </c>
      <c r="J48" s="16">
        <v>43553</v>
      </c>
      <c r="K48" s="16"/>
      <c r="L48" s="16" t="s">
        <v>34</v>
      </c>
      <c r="M48" s="16">
        <v>43577</v>
      </c>
      <c r="N48" s="16"/>
      <c r="O48" s="16"/>
      <c r="P48" s="16"/>
      <c r="Q48" s="16"/>
      <c r="R48" s="16"/>
      <c r="S48" s="16"/>
      <c r="T48" s="16"/>
      <c r="U48" s="16"/>
      <c r="V48" s="16">
        <v>43591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3"/>
      <c r="AI48" s="13"/>
      <c r="AJ48" s="13"/>
      <c r="AK48" s="13"/>
      <c r="AL48" s="15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79"/>
    </row>
    <row r="49" spans="1:64" s="8" customFormat="1" ht="72" customHeight="1" outlineLevel="1" x14ac:dyDescent="0.3">
      <c r="A49" s="9">
        <v>22</v>
      </c>
      <c r="B49" s="10"/>
      <c r="C49" s="10"/>
      <c r="D49" s="10"/>
      <c r="E49" s="10"/>
      <c r="F49" s="92" t="s">
        <v>96</v>
      </c>
      <c r="G49" s="103"/>
      <c r="H49" s="30"/>
      <c r="I49" s="80">
        <v>43550</v>
      </c>
      <c r="J49" s="16">
        <v>43553</v>
      </c>
      <c r="K49" s="16"/>
      <c r="L49" s="16" t="s">
        <v>34</v>
      </c>
      <c r="M49" s="16">
        <v>43577</v>
      </c>
      <c r="N49" s="16"/>
      <c r="O49" s="16"/>
      <c r="P49" s="16"/>
      <c r="Q49" s="16"/>
      <c r="R49" s="16"/>
      <c r="S49" s="16"/>
      <c r="T49" s="16"/>
      <c r="U49" s="16"/>
      <c r="V49" s="16">
        <v>43591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3"/>
      <c r="AI49" s="13"/>
      <c r="AJ49" s="13"/>
      <c r="AK49" s="13"/>
      <c r="AL49" s="15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79"/>
    </row>
    <row r="50" spans="1:64" s="8" customFormat="1" ht="72" customHeight="1" outlineLevel="1" x14ac:dyDescent="0.3">
      <c r="A50" s="9">
        <v>23</v>
      </c>
      <c r="B50" s="10"/>
      <c r="C50" s="10"/>
      <c r="D50" s="10"/>
      <c r="E50" s="10"/>
      <c r="F50" s="92" t="s">
        <v>97</v>
      </c>
      <c r="G50" s="101" t="s">
        <v>40</v>
      </c>
      <c r="H50" s="30"/>
      <c r="I50" s="80">
        <v>43550</v>
      </c>
      <c r="J50" s="16">
        <v>43553</v>
      </c>
      <c r="K50" s="16"/>
      <c r="L50" s="16" t="s">
        <v>34</v>
      </c>
      <c r="M50" s="16">
        <v>43577</v>
      </c>
      <c r="N50" s="16"/>
      <c r="O50" s="16"/>
      <c r="P50" s="16"/>
      <c r="Q50" s="16"/>
      <c r="R50" s="16"/>
      <c r="S50" s="16"/>
      <c r="T50" s="16"/>
      <c r="U50" s="16"/>
      <c r="V50" s="16">
        <v>43591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3"/>
      <c r="AI50" s="13"/>
      <c r="AJ50" s="13"/>
      <c r="AK50" s="13"/>
      <c r="AL50" s="15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79"/>
    </row>
    <row r="51" spans="1:64" s="8" customFormat="1" ht="72" customHeight="1" outlineLevel="1" x14ac:dyDescent="0.3">
      <c r="A51" s="9">
        <v>24</v>
      </c>
      <c r="B51" s="10"/>
      <c r="C51" s="10"/>
      <c r="D51" s="10"/>
      <c r="E51" s="10"/>
      <c r="F51" s="92" t="s">
        <v>98</v>
      </c>
      <c r="G51" s="102"/>
      <c r="H51" s="30"/>
      <c r="I51" s="80">
        <v>43550</v>
      </c>
      <c r="J51" s="16">
        <v>43553</v>
      </c>
      <c r="K51" s="16"/>
      <c r="L51" s="16" t="s">
        <v>34</v>
      </c>
      <c r="M51" s="16">
        <v>43577</v>
      </c>
      <c r="N51" s="16"/>
      <c r="O51" s="16"/>
      <c r="P51" s="16"/>
      <c r="Q51" s="16"/>
      <c r="R51" s="16"/>
      <c r="S51" s="16"/>
      <c r="T51" s="16"/>
      <c r="U51" s="16"/>
      <c r="V51" s="16">
        <v>43591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3"/>
      <c r="AI51" s="13"/>
      <c r="AJ51" s="13"/>
      <c r="AK51" s="13"/>
      <c r="AL51" s="15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79"/>
    </row>
    <row r="52" spans="1:64" s="8" customFormat="1" ht="72" customHeight="1" outlineLevel="1" x14ac:dyDescent="0.3">
      <c r="A52" s="9">
        <v>25</v>
      </c>
      <c r="B52" s="10"/>
      <c r="C52" s="10"/>
      <c r="D52" s="10"/>
      <c r="E52" s="10"/>
      <c r="F52" s="92" t="s">
        <v>99</v>
      </c>
      <c r="G52" s="102"/>
      <c r="H52" s="30"/>
      <c r="I52" s="80">
        <v>43550</v>
      </c>
      <c r="J52" s="16">
        <v>43553</v>
      </c>
      <c r="K52" s="16"/>
      <c r="L52" s="16" t="s">
        <v>34</v>
      </c>
      <c r="M52" s="16">
        <v>43577</v>
      </c>
      <c r="N52" s="16"/>
      <c r="O52" s="16"/>
      <c r="P52" s="16"/>
      <c r="Q52" s="16"/>
      <c r="R52" s="16"/>
      <c r="S52" s="16"/>
      <c r="T52" s="16"/>
      <c r="U52" s="16"/>
      <c r="V52" s="16">
        <v>43591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3"/>
      <c r="AI52" s="13"/>
      <c r="AJ52" s="13"/>
      <c r="AK52" s="13"/>
      <c r="AL52" s="15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79"/>
    </row>
    <row r="53" spans="1:64" s="8" customFormat="1" ht="72" customHeight="1" outlineLevel="1" x14ac:dyDescent="0.3">
      <c r="A53" s="9">
        <v>26</v>
      </c>
      <c r="B53" s="10"/>
      <c r="C53" s="10"/>
      <c r="D53" s="10"/>
      <c r="E53" s="10"/>
      <c r="F53" s="92" t="s">
        <v>100</v>
      </c>
      <c r="G53" s="102"/>
      <c r="H53" s="30"/>
      <c r="I53" s="80">
        <v>43550</v>
      </c>
      <c r="J53" s="16">
        <v>43553</v>
      </c>
      <c r="K53" s="16"/>
      <c r="L53" s="16" t="s">
        <v>34</v>
      </c>
      <c r="M53" s="16">
        <v>43577</v>
      </c>
      <c r="N53" s="16"/>
      <c r="O53" s="16"/>
      <c r="P53" s="16"/>
      <c r="Q53" s="16"/>
      <c r="R53" s="16"/>
      <c r="S53" s="16"/>
      <c r="T53" s="16"/>
      <c r="U53" s="16"/>
      <c r="V53" s="16">
        <v>43591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3"/>
      <c r="AI53" s="13"/>
      <c r="AJ53" s="13"/>
      <c r="AK53" s="13"/>
      <c r="AL53" s="15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79"/>
    </row>
    <row r="54" spans="1:64" s="8" customFormat="1" ht="72" customHeight="1" outlineLevel="1" x14ac:dyDescent="0.3">
      <c r="A54" s="9">
        <v>27</v>
      </c>
      <c r="B54" s="10"/>
      <c r="C54" s="10"/>
      <c r="D54" s="10"/>
      <c r="E54" s="10"/>
      <c r="F54" s="92" t="s">
        <v>101</v>
      </c>
      <c r="G54" s="102"/>
      <c r="H54" s="30"/>
      <c r="I54" s="80">
        <v>43550</v>
      </c>
      <c r="J54" s="16">
        <v>43553</v>
      </c>
      <c r="K54" s="16"/>
      <c r="L54" s="16" t="s">
        <v>34</v>
      </c>
      <c r="M54" s="16">
        <v>43577</v>
      </c>
      <c r="N54" s="16"/>
      <c r="O54" s="16"/>
      <c r="P54" s="16"/>
      <c r="Q54" s="16"/>
      <c r="R54" s="16"/>
      <c r="S54" s="16"/>
      <c r="T54" s="16"/>
      <c r="U54" s="16"/>
      <c r="V54" s="16">
        <v>43591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3"/>
      <c r="AI54" s="13"/>
      <c r="AJ54" s="13"/>
      <c r="AK54" s="13"/>
      <c r="AL54" s="15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79"/>
    </row>
    <row r="55" spans="1:64" s="8" customFormat="1" ht="72" customHeight="1" outlineLevel="1" x14ac:dyDescent="0.3">
      <c r="A55" s="9">
        <v>28</v>
      </c>
      <c r="B55" s="10"/>
      <c r="C55" s="10"/>
      <c r="D55" s="10"/>
      <c r="E55" s="10"/>
      <c r="F55" s="92" t="s">
        <v>102</v>
      </c>
      <c r="G55" s="102"/>
      <c r="H55" s="30"/>
      <c r="I55" s="80">
        <v>43550</v>
      </c>
      <c r="J55" s="16">
        <v>43553</v>
      </c>
      <c r="K55" s="16"/>
      <c r="L55" s="16" t="s">
        <v>34</v>
      </c>
      <c r="M55" s="16">
        <v>43577</v>
      </c>
      <c r="N55" s="16"/>
      <c r="O55" s="16"/>
      <c r="P55" s="16"/>
      <c r="Q55" s="16"/>
      <c r="R55" s="16"/>
      <c r="S55" s="16"/>
      <c r="T55" s="16"/>
      <c r="U55" s="16"/>
      <c r="V55" s="16">
        <v>43591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3"/>
      <c r="AI55" s="13"/>
      <c r="AJ55" s="13"/>
      <c r="AK55" s="13"/>
      <c r="AL55" s="15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79"/>
    </row>
    <row r="56" spans="1:64" s="8" customFormat="1" ht="72" customHeight="1" outlineLevel="1" x14ac:dyDescent="0.3">
      <c r="A56" s="9">
        <v>29</v>
      </c>
      <c r="B56" s="10"/>
      <c r="C56" s="10"/>
      <c r="D56" s="10"/>
      <c r="E56" s="10"/>
      <c r="F56" s="92" t="s">
        <v>103</v>
      </c>
      <c r="G56" s="102"/>
      <c r="H56" s="30"/>
      <c r="I56" s="80">
        <v>43550</v>
      </c>
      <c r="J56" s="16">
        <v>43553</v>
      </c>
      <c r="K56" s="16"/>
      <c r="L56" s="16" t="s">
        <v>34</v>
      </c>
      <c r="M56" s="16">
        <v>43577</v>
      </c>
      <c r="N56" s="16"/>
      <c r="O56" s="16"/>
      <c r="P56" s="16"/>
      <c r="Q56" s="16"/>
      <c r="R56" s="16"/>
      <c r="S56" s="16"/>
      <c r="T56" s="16"/>
      <c r="U56" s="16"/>
      <c r="V56" s="16">
        <v>43591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3"/>
      <c r="AI56" s="13"/>
      <c r="AJ56" s="13"/>
      <c r="AK56" s="13"/>
      <c r="AL56" s="15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79"/>
    </row>
    <row r="57" spans="1:64" s="8" customFormat="1" ht="72" customHeight="1" outlineLevel="1" x14ac:dyDescent="0.3">
      <c r="A57" s="9">
        <v>30</v>
      </c>
      <c r="B57" s="10"/>
      <c r="C57" s="10"/>
      <c r="D57" s="10"/>
      <c r="E57" s="10"/>
      <c r="F57" s="92" t="s">
        <v>104</v>
      </c>
      <c r="G57" s="103"/>
      <c r="H57" s="30"/>
      <c r="I57" s="80">
        <v>43550</v>
      </c>
      <c r="J57" s="16">
        <v>43553</v>
      </c>
      <c r="K57" s="16"/>
      <c r="L57" s="16" t="s">
        <v>34</v>
      </c>
      <c r="M57" s="16">
        <v>43577</v>
      </c>
      <c r="N57" s="16"/>
      <c r="O57" s="16"/>
      <c r="P57" s="16"/>
      <c r="Q57" s="16"/>
      <c r="R57" s="16"/>
      <c r="S57" s="16"/>
      <c r="T57" s="16"/>
      <c r="U57" s="16"/>
      <c r="V57" s="16">
        <v>43591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3"/>
      <c r="AI57" s="13"/>
      <c r="AJ57" s="13"/>
      <c r="AK57" s="13"/>
      <c r="AL57" s="15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79"/>
    </row>
    <row r="58" spans="1:64" s="39" customFormat="1" ht="38.549999999999997" customHeight="1" x14ac:dyDescent="0.3">
      <c r="A58" s="40" t="s">
        <v>28</v>
      </c>
      <c r="B58" s="36"/>
      <c r="C58" s="36"/>
      <c r="D58" s="36"/>
      <c r="E58" s="36"/>
      <c r="F58" s="36"/>
      <c r="G58" s="36" t="s">
        <v>19</v>
      </c>
      <c r="H58" s="90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94"/>
      <c r="W58" s="94"/>
      <c r="X58" s="38"/>
      <c r="Y58" s="94"/>
      <c r="Z58" s="38"/>
      <c r="AA58" s="38"/>
      <c r="AB58" s="94"/>
      <c r="AC58" s="94"/>
      <c r="AD58" s="94"/>
      <c r="AE58" s="94"/>
      <c r="AF58" s="94"/>
      <c r="AG58" s="38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95"/>
    </row>
    <row r="59" spans="1:64" s="8" customFormat="1" ht="45.6" customHeight="1" outlineLevel="1" x14ac:dyDescent="0.3">
      <c r="A59" s="9">
        <v>1</v>
      </c>
      <c r="B59" s="10" t="s">
        <v>0</v>
      </c>
      <c r="C59" s="10"/>
      <c r="D59" s="10" t="s">
        <v>1</v>
      </c>
      <c r="E59" s="10">
        <v>2</v>
      </c>
      <c r="F59" s="93" t="s">
        <v>62</v>
      </c>
      <c r="G59" s="60" t="s">
        <v>41</v>
      </c>
      <c r="H59" s="30">
        <v>1</v>
      </c>
      <c r="I59" s="80">
        <v>43550</v>
      </c>
      <c r="J59" s="16">
        <v>43549</v>
      </c>
      <c r="K59" s="16"/>
      <c r="L59" s="16" t="s">
        <v>34</v>
      </c>
      <c r="M59" s="16">
        <v>43550</v>
      </c>
      <c r="N59" s="16" t="s">
        <v>33</v>
      </c>
      <c r="O59" s="16">
        <v>43559</v>
      </c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1"/>
      <c r="AI59" s="12"/>
      <c r="AJ59" s="17"/>
      <c r="AK59" s="11"/>
      <c r="AL59" s="13"/>
      <c r="AM59" s="17"/>
      <c r="AN59" s="18"/>
      <c r="AO59" s="13"/>
      <c r="AP59" s="14"/>
      <c r="AQ59" s="27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58"/>
    </row>
    <row r="60" spans="1:64" s="8" customFormat="1" ht="45.6" customHeight="1" outlineLevel="1" x14ac:dyDescent="0.3">
      <c r="A60" s="9">
        <f>+A59+1</f>
        <v>2</v>
      </c>
      <c r="B60" s="10"/>
      <c r="C60" s="10"/>
      <c r="D60" s="10"/>
      <c r="E60" s="10"/>
      <c r="F60" s="93" t="s">
        <v>63</v>
      </c>
      <c r="G60" s="60" t="s">
        <v>42</v>
      </c>
      <c r="H60" s="30">
        <v>1</v>
      </c>
      <c r="I60" s="80">
        <v>43550</v>
      </c>
      <c r="J60" s="16">
        <v>43549</v>
      </c>
      <c r="K60" s="16"/>
      <c r="L60" s="16" t="s">
        <v>34</v>
      </c>
      <c r="M60" s="16">
        <v>43550</v>
      </c>
      <c r="N60" s="16" t="s">
        <v>33</v>
      </c>
      <c r="O60" s="16">
        <v>43559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1"/>
      <c r="AI60" s="12"/>
      <c r="AJ60" s="17"/>
      <c r="AK60" s="11"/>
      <c r="AL60" s="13"/>
      <c r="AM60" s="17"/>
      <c r="AN60" s="18"/>
      <c r="AO60" s="13"/>
      <c r="AP60" s="14"/>
      <c r="AQ60" s="27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58"/>
    </row>
    <row r="61" spans="1:64" s="8" customFormat="1" ht="45.6" customHeight="1" outlineLevel="1" x14ac:dyDescent="0.3">
      <c r="A61" s="9">
        <f t="shared" ref="A61:A74" si="2">+A60+1</f>
        <v>3</v>
      </c>
      <c r="B61" s="10"/>
      <c r="C61" s="10"/>
      <c r="D61" s="10"/>
      <c r="E61" s="10"/>
      <c r="F61" s="93" t="s">
        <v>64</v>
      </c>
      <c r="G61" s="60" t="s">
        <v>43</v>
      </c>
      <c r="H61" s="30"/>
      <c r="I61" s="80">
        <v>43570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>
        <v>43585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1"/>
      <c r="AI61" s="12"/>
      <c r="AJ61" s="17"/>
      <c r="AK61" s="11"/>
      <c r="AL61" s="13"/>
      <c r="AM61" s="17"/>
      <c r="AN61" s="18"/>
      <c r="AO61" s="13"/>
      <c r="AP61" s="14"/>
      <c r="AQ61" s="27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58"/>
    </row>
    <row r="62" spans="1:64" s="8" customFormat="1" ht="45.6" customHeight="1" outlineLevel="1" x14ac:dyDescent="0.3">
      <c r="A62" s="9">
        <f t="shared" si="2"/>
        <v>4</v>
      </c>
      <c r="B62" s="10"/>
      <c r="C62" s="10"/>
      <c r="D62" s="10"/>
      <c r="E62" s="10"/>
      <c r="F62" s="93" t="s">
        <v>65</v>
      </c>
      <c r="G62" s="60" t="s">
        <v>44</v>
      </c>
      <c r="H62" s="30">
        <v>1</v>
      </c>
      <c r="I62" s="80">
        <v>43550</v>
      </c>
      <c r="J62" s="16">
        <v>43549</v>
      </c>
      <c r="K62" s="16"/>
      <c r="L62" s="16" t="s">
        <v>34</v>
      </c>
      <c r="M62" s="16">
        <v>43550</v>
      </c>
      <c r="N62" s="16" t="s">
        <v>33</v>
      </c>
      <c r="O62" s="16">
        <v>43559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1"/>
      <c r="AI62" s="12"/>
      <c r="AJ62" s="17"/>
      <c r="AK62" s="11"/>
      <c r="AL62" s="13"/>
      <c r="AM62" s="17"/>
      <c r="AN62" s="18"/>
      <c r="AO62" s="13"/>
      <c r="AP62" s="14"/>
      <c r="AQ62" s="27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58"/>
    </row>
    <row r="63" spans="1:64" s="8" customFormat="1" ht="45.6" customHeight="1" outlineLevel="1" x14ac:dyDescent="0.3">
      <c r="A63" s="9">
        <f t="shared" si="2"/>
        <v>5</v>
      </c>
      <c r="B63" s="10"/>
      <c r="C63" s="10"/>
      <c r="D63" s="10"/>
      <c r="E63" s="10"/>
      <c r="F63" s="93" t="s">
        <v>66</v>
      </c>
      <c r="G63" s="60" t="s">
        <v>45</v>
      </c>
      <c r="H63" s="30"/>
      <c r="I63" s="100">
        <v>43570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>
        <v>43585</v>
      </c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1"/>
      <c r="AI63" s="12"/>
      <c r="AJ63" s="17"/>
      <c r="AK63" s="11"/>
      <c r="AL63" s="13"/>
      <c r="AM63" s="17"/>
      <c r="AN63" s="18"/>
      <c r="AO63" s="13"/>
      <c r="AP63" s="14"/>
      <c r="AQ63" s="27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58"/>
    </row>
    <row r="64" spans="1:64" s="8" customFormat="1" ht="45.6" customHeight="1" outlineLevel="1" x14ac:dyDescent="0.3">
      <c r="A64" s="9">
        <f t="shared" si="2"/>
        <v>6</v>
      </c>
      <c r="B64" s="10"/>
      <c r="C64" s="10"/>
      <c r="D64" s="10"/>
      <c r="E64" s="10"/>
      <c r="F64" s="93" t="s">
        <v>67</v>
      </c>
      <c r="G64" s="60" t="s">
        <v>77</v>
      </c>
      <c r="H64" s="30">
        <v>1</v>
      </c>
      <c r="I64" s="80">
        <v>43550</v>
      </c>
      <c r="J64" s="16">
        <v>43552</v>
      </c>
      <c r="K64" s="16"/>
      <c r="L64" s="16" t="s">
        <v>33</v>
      </c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1"/>
      <c r="AI64" s="12"/>
      <c r="AJ64" s="17"/>
      <c r="AK64" s="11"/>
      <c r="AL64" s="13"/>
      <c r="AM64" s="17"/>
      <c r="AN64" s="18"/>
      <c r="AO64" s="13"/>
      <c r="AP64" s="14"/>
      <c r="AQ64" s="27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58"/>
    </row>
    <row r="65" spans="1:64" s="8" customFormat="1" ht="45.6" customHeight="1" outlineLevel="1" x14ac:dyDescent="0.3">
      <c r="A65" s="9">
        <f t="shared" si="2"/>
        <v>7</v>
      </c>
      <c r="B65" s="10"/>
      <c r="C65" s="10"/>
      <c r="D65" s="10"/>
      <c r="E65" s="10"/>
      <c r="F65" s="93" t="s">
        <v>67</v>
      </c>
      <c r="G65" s="60" t="s">
        <v>78</v>
      </c>
      <c r="H65" s="30"/>
      <c r="I65" s="80">
        <v>43567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>
        <v>43585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1"/>
      <c r="AI65" s="12"/>
      <c r="AJ65" s="17"/>
      <c r="AK65" s="11"/>
      <c r="AL65" s="13"/>
      <c r="AM65" s="17"/>
      <c r="AN65" s="18"/>
      <c r="AO65" s="13"/>
      <c r="AP65" s="14"/>
      <c r="AQ65" s="27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58"/>
    </row>
    <row r="66" spans="1:64" s="8" customFormat="1" ht="45.6" customHeight="1" outlineLevel="1" x14ac:dyDescent="0.3">
      <c r="A66" s="9">
        <f t="shared" si="2"/>
        <v>8</v>
      </c>
      <c r="B66" s="10"/>
      <c r="C66" s="10"/>
      <c r="D66" s="10"/>
      <c r="E66" s="10"/>
      <c r="F66" s="93" t="s">
        <v>68</v>
      </c>
      <c r="G66" s="60" t="s">
        <v>46</v>
      </c>
      <c r="H66" s="30"/>
      <c r="I66" s="80">
        <v>43567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>
        <v>43585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1"/>
      <c r="AI66" s="12"/>
      <c r="AJ66" s="17"/>
      <c r="AK66" s="11"/>
      <c r="AL66" s="13"/>
      <c r="AM66" s="17"/>
      <c r="AN66" s="18"/>
      <c r="AO66" s="13"/>
      <c r="AP66" s="14"/>
      <c r="AQ66" s="27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58"/>
    </row>
    <row r="67" spans="1:64" s="8" customFormat="1" ht="45.6" customHeight="1" outlineLevel="1" x14ac:dyDescent="0.3">
      <c r="A67" s="9">
        <f t="shared" si="2"/>
        <v>9</v>
      </c>
      <c r="B67" s="10"/>
      <c r="C67" s="10"/>
      <c r="D67" s="10"/>
      <c r="E67" s="10"/>
      <c r="F67" s="93" t="s">
        <v>69</v>
      </c>
      <c r="G67" s="60" t="s">
        <v>47</v>
      </c>
      <c r="H67" s="30"/>
      <c r="I67" s="80">
        <v>43567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>
        <v>43585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1"/>
      <c r="AI67" s="12"/>
      <c r="AJ67" s="17"/>
      <c r="AK67" s="11"/>
      <c r="AL67" s="13"/>
      <c r="AM67" s="17"/>
      <c r="AN67" s="18"/>
      <c r="AO67" s="13"/>
      <c r="AP67" s="14"/>
      <c r="AQ67" s="27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58"/>
    </row>
    <row r="68" spans="1:64" s="8" customFormat="1" ht="45.6" customHeight="1" outlineLevel="1" x14ac:dyDescent="0.3">
      <c r="A68" s="9">
        <f t="shared" si="2"/>
        <v>10</v>
      </c>
      <c r="B68" s="10"/>
      <c r="C68" s="10"/>
      <c r="D68" s="10"/>
      <c r="E68" s="10"/>
      <c r="F68" s="93" t="s">
        <v>70</v>
      </c>
      <c r="G68" s="60" t="s">
        <v>47</v>
      </c>
      <c r="H68" s="30"/>
      <c r="I68" s="80">
        <v>43567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>
        <v>43585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1"/>
      <c r="AI68" s="12"/>
      <c r="AJ68" s="17"/>
      <c r="AK68" s="11"/>
      <c r="AL68" s="13"/>
      <c r="AM68" s="17"/>
      <c r="AN68" s="18"/>
      <c r="AO68" s="13"/>
      <c r="AP68" s="14"/>
      <c r="AQ68" s="27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58"/>
    </row>
    <row r="69" spans="1:64" s="8" customFormat="1" ht="45.6" customHeight="1" outlineLevel="1" x14ac:dyDescent="0.3">
      <c r="A69" s="9">
        <f t="shared" si="2"/>
        <v>11</v>
      </c>
      <c r="B69" s="10"/>
      <c r="C69" s="10"/>
      <c r="D69" s="10"/>
      <c r="E69" s="10"/>
      <c r="F69" s="93" t="s">
        <v>71</v>
      </c>
      <c r="G69" s="60" t="s">
        <v>48</v>
      </c>
      <c r="H69" s="30"/>
      <c r="I69" s="80">
        <v>43567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>
        <v>43585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1"/>
      <c r="AI69" s="12"/>
      <c r="AJ69" s="17"/>
      <c r="AK69" s="11"/>
      <c r="AL69" s="13"/>
      <c r="AM69" s="17"/>
      <c r="AN69" s="18"/>
      <c r="AO69" s="13"/>
      <c r="AP69" s="14"/>
      <c r="AQ69" s="27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58"/>
    </row>
    <row r="70" spans="1:64" s="8" customFormat="1" ht="45.6" customHeight="1" outlineLevel="1" x14ac:dyDescent="0.3">
      <c r="A70" s="9">
        <f t="shared" si="2"/>
        <v>12</v>
      </c>
      <c r="B70" s="10"/>
      <c r="C70" s="10"/>
      <c r="D70" s="10"/>
      <c r="E70" s="10"/>
      <c r="F70" s="93" t="s">
        <v>72</v>
      </c>
      <c r="G70" s="60" t="s">
        <v>49</v>
      </c>
      <c r="H70" s="30"/>
      <c r="I70" s="80">
        <v>43567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>
        <v>43585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1"/>
      <c r="AI70" s="12"/>
      <c r="AJ70" s="17"/>
      <c r="AK70" s="11"/>
      <c r="AL70" s="13"/>
      <c r="AM70" s="17"/>
      <c r="AN70" s="18"/>
      <c r="AO70" s="13"/>
      <c r="AP70" s="14"/>
      <c r="AQ70" s="27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58"/>
    </row>
    <row r="71" spans="1:64" s="8" customFormat="1" ht="45.6" customHeight="1" outlineLevel="1" x14ac:dyDescent="0.3">
      <c r="A71" s="9">
        <f t="shared" si="2"/>
        <v>13</v>
      </c>
      <c r="B71" s="10"/>
      <c r="C71" s="10"/>
      <c r="D71" s="10"/>
      <c r="E71" s="10"/>
      <c r="F71" s="93" t="s">
        <v>73</v>
      </c>
      <c r="G71" s="60" t="s">
        <v>50</v>
      </c>
      <c r="H71" s="30"/>
      <c r="I71" s="80">
        <v>43567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>
        <v>43585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1"/>
      <c r="AI71" s="12"/>
      <c r="AJ71" s="17"/>
      <c r="AK71" s="11"/>
      <c r="AL71" s="13"/>
      <c r="AM71" s="17"/>
      <c r="AN71" s="18"/>
      <c r="AO71" s="13"/>
      <c r="AP71" s="14"/>
      <c r="AQ71" s="27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58"/>
    </row>
    <row r="72" spans="1:64" s="8" customFormat="1" ht="45.6" customHeight="1" outlineLevel="1" x14ac:dyDescent="0.3">
      <c r="A72" s="9">
        <f t="shared" si="2"/>
        <v>14</v>
      </c>
      <c r="B72" s="10"/>
      <c r="C72" s="10"/>
      <c r="D72" s="10"/>
      <c r="E72" s="10"/>
      <c r="F72" s="93" t="s">
        <v>74</v>
      </c>
      <c r="G72" s="60" t="s">
        <v>51</v>
      </c>
      <c r="H72" s="30"/>
      <c r="I72" s="80">
        <v>43567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>
        <v>43585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1"/>
      <c r="AI72" s="12"/>
      <c r="AJ72" s="17"/>
      <c r="AK72" s="11"/>
      <c r="AL72" s="13"/>
      <c r="AM72" s="17"/>
      <c r="AN72" s="18"/>
      <c r="AO72" s="13"/>
      <c r="AP72" s="14"/>
      <c r="AQ72" s="27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58"/>
    </row>
    <row r="73" spans="1:64" s="8" customFormat="1" ht="45.6" customHeight="1" outlineLevel="1" x14ac:dyDescent="0.3">
      <c r="A73" s="9">
        <f t="shared" si="2"/>
        <v>15</v>
      </c>
      <c r="B73" s="10"/>
      <c r="C73" s="10"/>
      <c r="D73" s="10"/>
      <c r="E73" s="10"/>
      <c r="F73" s="93" t="s">
        <v>75</v>
      </c>
      <c r="G73" s="60" t="s">
        <v>52</v>
      </c>
      <c r="H73" s="30"/>
      <c r="I73" s="80">
        <v>43567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>
        <v>43585</v>
      </c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1"/>
      <c r="AI73" s="12"/>
      <c r="AJ73" s="17"/>
      <c r="AK73" s="11"/>
      <c r="AL73" s="13"/>
      <c r="AM73" s="17"/>
      <c r="AN73" s="18"/>
      <c r="AO73" s="13"/>
      <c r="AP73" s="14"/>
      <c r="AQ73" s="27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58"/>
    </row>
    <row r="74" spans="1:64" s="8" customFormat="1" ht="45.6" customHeight="1" outlineLevel="1" x14ac:dyDescent="0.3">
      <c r="A74" s="9">
        <f t="shared" si="2"/>
        <v>16</v>
      </c>
      <c r="B74" s="10"/>
      <c r="C74" s="10"/>
      <c r="D74" s="10"/>
      <c r="E74" s="10"/>
      <c r="F74" s="93" t="s">
        <v>76</v>
      </c>
      <c r="G74" s="60" t="s">
        <v>53</v>
      </c>
      <c r="H74" s="30">
        <v>1</v>
      </c>
      <c r="I74" s="80">
        <v>43550</v>
      </c>
      <c r="J74" s="16">
        <v>43551</v>
      </c>
      <c r="K74" s="16"/>
      <c r="L74" s="16" t="s">
        <v>34</v>
      </c>
      <c r="M74" s="16">
        <v>43551</v>
      </c>
      <c r="N74" s="16" t="s">
        <v>33</v>
      </c>
      <c r="O74" s="16">
        <v>43552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1"/>
      <c r="AI74" s="12"/>
      <c r="AJ74" s="17"/>
      <c r="AK74" s="11"/>
      <c r="AL74" s="13"/>
      <c r="AM74" s="17"/>
      <c r="AN74" s="18"/>
      <c r="AO74" s="13"/>
      <c r="AP74" s="14"/>
      <c r="AQ74" s="27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58"/>
    </row>
    <row r="75" spans="1:64" s="8" customFormat="1" ht="29.1" customHeight="1" outlineLevel="1" thickBot="1" x14ac:dyDescent="0.35">
      <c r="A75" s="33"/>
      <c r="B75" s="19" t="s">
        <v>0</v>
      </c>
      <c r="C75" s="19"/>
      <c r="D75" s="19" t="s">
        <v>1</v>
      </c>
      <c r="E75" s="19">
        <v>2</v>
      </c>
      <c r="F75" s="20"/>
      <c r="G75" s="20"/>
      <c r="H75" s="31" t="str">
        <f>+IF(AG75&lt;&gt;0,100%,"")</f>
        <v/>
      </c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22"/>
      <c r="AI75" s="21"/>
      <c r="AJ75" s="23"/>
      <c r="AK75" s="22"/>
      <c r="AL75" s="24"/>
      <c r="AM75" s="23"/>
      <c r="AN75" s="25"/>
      <c r="AO75" s="24"/>
      <c r="AP75" s="26"/>
      <c r="AQ75" s="28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59"/>
    </row>
    <row r="76" spans="1:64" ht="17.399999999999999" thickTop="1" x14ac:dyDescent="0.3"/>
  </sheetData>
  <mergeCells count="108">
    <mergeCell ref="F23:F25"/>
    <mergeCell ref="AD24:AD25"/>
    <mergeCell ref="AF24:AF25"/>
    <mergeCell ref="JK16:JN16"/>
    <mergeCell ref="CD17:CX17"/>
    <mergeCell ref="CY17:DS17"/>
    <mergeCell ref="DT17:EN17"/>
    <mergeCell ref="EO17:FI17"/>
    <mergeCell ref="FJ17:GD17"/>
    <mergeCell ref="DT16:EN16"/>
    <mergeCell ref="EO16:FI16"/>
    <mergeCell ref="FJ16:GD16"/>
    <mergeCell ref="JK18:JN18"/>
    <mergeCell ref="DT18:EN18"/>
    <mergeCell ref="EO18:FI18"/>
    <mergeCell ref="FJ18:GD18"/>
    <mergeCell ref="BD21:BK21"/>
    <mergeCell ref="I23:I25"/>
    <mergeCell ref="J23:J25"/>
    <mergeCell ref="R24:S24"/>
    <mergeCell ref="P24:Q24"/>
    <mergeCell ref="N24:O24"/>
    <mergeCell ref="AA24:AA25"/>
    <mergeCell ref="AC24:AC25"/>
    <mergeCell ref="JK15:JN15"/>
    <mergeCell ref="DT12:EN12"/>
    <mergeCell ref="GE17:GY17"/>
    <mergeCell ref="GZ17:HT17"/>
    <mergeCell ref="HU17:IO17"/>
    <mergeCell ref="IP17:JJ17"/>
    <mergeCell ref="JK17:JN17"/>
    <mergeCell ref="HU16:IO16"/>
    <mergeCell ref="GE15:GY15"/>
    <mergeCell ref="GZ15:HT15"/>
    <mergeCell ref="EO15:FI15"/>
    <mergeCell ref="FJ15:GD15"/>
    <mergeCell ref="DT14:EN14"/>
    <mergeCell ref="EO14:FI14"/>
    <mergeCell ref="FJ14:GD14"/>
    <mergeCell ref="GE12:GY12"/>
    <mergeCell ref="GZ12:HT12"/>
    <mergeCell ref="HU12:IO12"/>
    <mergeCell ref="IP12:JJ12"/>
    <mergeCell ref="JK12:JN12"/>
    <mergeCell ref="IP14:JJ14"/>
    <mergeCell ref="JK14:JN14"/>
    <mergeCell ref="GE14:GY14"/>
    <mergeCell ref="GZ14:HT14"/>
    <mergeCell ref="A14:AM14"/>
    <mergeCell ref="GE16:GY16"/>
    <mergeCell ref="GZ16:HT16"/>
    <mergeCell ref="IP18:JJ18"/>
    <mergeCell ref="A18:AM18"/>
    <mergeCell ref="AN18:BH18"/>
    <mergeCell ref="HU15:IO15"/>
    <mergeCell ref="IP15:JJ15"/>
    <mergeCell ref="CD18:CX18"/>
    <mergeCell ref="CY18:DS18"/>
    <mergeCell ref="IP16:JJ16"/>
    <mergeCell ref="GE18:GY18"/>
    <mergeCell ref="GZ18:HT18"/>
    <mergeCell ref="HU18:IO18"/>
    <mergeCell ref="HU14:IO14"/>
    <mergeCell ref="A15:AM15"/>
    <mergeCell ref="AN15:BH15"/>
    <mergeCell ref="CD15:CX15"/>
    <mergeCell ref="CY15:DS15"/>
    <mergeCell ref="DT15:EN15"/>
    <mergeCell ref="G23:G25"/>
    <mergeCell ref="H23:H25"/>
    <mergeCell ref="AE24:AE25"/>
    <mergeCell ref="AG23:AG25"/>
    <mergeCell ref="AH23:BK23"/>
    <mergeCell ref="L23:U23"/>
    <mergeCell ref="V23:Y23"/>
    <mergeCell ref="Z23:AF23"/>
    <mergeCell ref="V24:V25"/>
    <mergeCell ref="W24:W25"/>
    <mergeCell ref="X24:X25"/>
    <mergeCell ref="Y24:Y25"/>
    <mergeCell ref="Z24:Z25"/>
    <mergeCell ref="AB24:AB25"/>
    <mergeCell ref="L24:M24"/>
    <mergeCell ref="T24:U24"/>
    <mergeCell ref="G28:G32"/>
    <mergeCell ref="G33:G39"/>
    <mergeCell ref="G40:G49"/>
    <mergeCell ref="G50:G57"/>
    <mergeCell ref="A12:BL12"/>
    <mergeCell ref="EO12:FI12"/>
    <mergeCell ref="FJ12:GD12"/>
    <mergeCell ref="AH24:AN24"/>
    <mergeCell ref="AO24:AU24"/>
    <mergeCell ref="AV24:BB24"/>
    <mergeCell ref="BC24:BI24"/>
    <mergeCell ref="BJ24:BK24"/>
    <mergeCell ref="BL23:BL25"/>
    <mergeCell ref="CD14:CX14"/>
    <mergeCell ref="CY14:DS14"/>
    <mergeCell ref="CD12:CX12"/>
    <mergeCell ref="CY12:DS12"/>
    <mergeCell ref="A16:AM16"/>
    <mergeCell ref="AN16:BH16"/>
    <mergeCell ref="CD16:CX16"/>
    <mergeCell ref="CY16:DS16"/>
    <mergeCell ref="A17:AM17"/>
    <mergeCell ref="AN17:BH17"/>
    <mergeCell ref="A23:A25"/>
  </mergeCells>
  <conditionalFormatting sqref="E59:E64 E66:E74 A28:A57">
    <cfRule type="expression" dxfId="165" priority="1457" stopIfTrue="1">
      <formula>AL28="NA"</formula>
    </cfRule>
    <cfRule type="expression" dxfId="164" priority="1458" stopIfTrue="1">
      <formula>AL28="A"</formula>
    </cfRule>
    <cfRule type="expression" dxfId="163" priority="1459" stopIfTrue="1">
      <formula>AL28="AC"</formula>
    </cfRule>
  </conditionalFormatting>
  <conditionalFormatting sqref="C28:C57">
    <cfRule type="expression" dxfId="162" priority="1454" stopIfTrue="1">
      <formula>AL28="NA"</formula>
    </cfRule>
    <cfRule type="expression" dxfId="161" priority="1455" stopIfTrue="1">
      <formula>AL28="A"</formula>
    </cfRule>
    <cfRule type="expression" dxfId="160" priority="1456" stopIfTrue="1">
      <formula>AL28="AC"</formula>
    </cfRule>
  </conditionalFormatting>
  <conditionalFormatting sqref="AL59:AL64 AL66:AL75 AH28:AI57">
    <cfRule type="expression" dxfId="159" priority="1436" stopIfTrue="1">
      <formula>AL28="NA"</formula>
    </cfRule>
    <cfRule type="expression" dxfId="158" priority="1437" stopIfTrue="1">
      <formula>AL28="A"</formula>
    </cfRule>
    <cfRule type="expression" dxfId="157" priority="1438" stopIfTrue="1">
      <formula>AL28="AC"</formula>
    </cfRule>
  </conditionalFormatting>
  <conditionalFormatting sqref="AJ28:AK57">
    <cfRule type="expression" dxfId="156" priority="1433" stopIfTrue="1">
      <formula>AL28="NA"</formula>
    </cfRule>
    <cfRule type="expression" dxfId="155" priority="1434" stopIfTrue="1">
      <formula>AL28="A"</formula>
    </cfRule>
    <cfRule type="expression" dxfId="154" priority="1435" stopIfTrue="1">
      <formula>AL28="AC"</formula>
    </cfRule>
  </conditionalFormatting>
  <conditionalFormatting sqref="AP59:AP64 AP66:AP75 AL28:AL57">
    <cfRule type="cellIs" dxfId="153" priority="1427" stopIfTrue="1" operator="equal">
      <formula>"A"</formula>
    </cfRule>
    <cfRule type="cellIs" dxfId="152" priority="1428" stopIfTrue="1" operator="equal">
      <formula>"NA"</formula>
    </cfRule>
    <cfRule type="cellIs" dxfId="151" priority="1429" stopIfTrue="1" operator="equal">
      <formula>"AC"</formula>
    </cfRule>
  </conditionalFormatting>
  <conditionalFormatting sqref="B28:B57">
    <cfRule type="expression" dxfId="150" priority="1424" stopIfTrue="1">
      <formula>AL28="NA"</formula>
    </cfRule>
    <cfRule type="expression" dxfId="149" priority="1425" stopIfTrue="1">
      <formula>AL28="A"</formula>
    </cfRule>
    <cfRule type="expression" dxfId="148" priority="1426" stopIfTrue="1">
      <formula>AL28="AC"</formula>
    </cfRule>
  </conditionalFormatting>
  <conditionalFormatting sqref="D28:D57">
    <cfRule type="expression" dxfId="147" priority="1421" stopIfTrue="1">
      <formula>AL28="NA"</formula>
    </cfRule>
    <cfRule type="expression" dxfId="146" priority="1422" stopIfTrue="1">
      <formula>AL28="A"</formula>
    </cfRule>
    <cfRule type="expression" dxfId="145" priority="1423" stopIfTrue="1">
      <formula>AL28="AC"</formula>
    </cfRule>
  </conditionalFormatting>
  <conditionalFormatting sqref="A59:A75">
    <cfRule type="expression" dxfId="144" priority="671" stopIfTrue="1">
      <formula>AP59="NA"</formula>
    </cfRule>
    <cfRule type="expression" dxfId="143" priority="672" stopIfTrue="1">
      <formula>AP59="A"</formula>
    </cfRule>
    <cfRule type="expression" dxfId="142" priority="673" stopIfTrue="1">
      <formula>AP59="AC"</formula>
    </cfRule>
  </conditionalFormatting>
  <conditionalFormatting sqref="C59:C64 C66:C74">
    <cfRule type="expression" dxfId="141" priority="668" stopIfTrue="1">
      <formula>AP59="NA"</formula>
    </cfRule>
    <cfRule type="expression" dxfId="140" priority="669" stopIfTrue="1">
      <formula>AP59="A"</formula>
    </cfRule>
    <cfRule type="expression" dxfId="139" priority="670" stopIfTrue="1">
      <formula>AP59="AC"</formula>
    </cfRule>
  </conditionalFormatting>
  <conditionalFormatting sqref="F75">
    <cfRule type="expression" dxfId="138" priority="662" stopIfTrue="1">
      <formula>AP75="NA"</formula>
    </cfRule>
    <cfRule type="expression" dxfId="137" priority="663" stopIfTrue="1">
      <formula>AP75="A"</formula>
    </cfRule>
    <cfRule type="expression" dxfId="136" priority="664" stopIfTrue="1">
      <formula>AP75="AC"</formula>
    </cfRule>
  </conditionalFormatting>
  <conditionalFormatting sqref="G75">
    <cfRule type="expression" dxfId="135" priority="659" stopIfTrue="1">
      <formula>AP75="NA"</formula>
    </cfRule>
    <cfRule type="expression" dxfId="134" priority="660" stopIfTrue="1">
      <formula>AP75="A"</formula>
    </cfRule>
    <cfRule type="expression" dxfId="133" priority="661" stopIfTrue="1">
      <formula>AP75="AC"</formula>
    </cfRule>
  </conditionalFormatting>
  <conditionalFormatting sqref="AK59:AK64 AH59:AH64 AH66:AH75 AK66:AK75">
    <cfRule type="expression" dxfId="132" priority="653" stopIfTrue="1">
      <formula>AN59="NA"</formula>
    </cfRule>
    <cfRule type="expression" dxfId="131" priority="654" stopIfTrue="1">
      <formula>AN59="A"</formula>
    </cfRule>
    <cfRule type="expression" dxfId="130" priority="655" stopIfTrue="1">
      <formula>AN59="AC"</formula>
    </cfRule>
  </conditionalFormatting>
  <conditionalFormatting sqref="AJ59:AJ64 AM59:AN64 AN66:AN75 AJ66:AJ74 AM66:AM74">
    <cfRule type="expression" dxfId="129" priority="647" stopIfTrue="1">
      <formula>AM59="NA"</formula>
    </cfRule>
    <cfRule type="expression" dxfId="128" priority="648" stopIfTrue="1">
      <formula>AM59="A"</formula>
    </cfRule>
    <cfRule type="expression" dxfId="127" priority="649" stopIfTrue="1">
      <formula>AM59="AC"</formula>
    </cfRule>
  </conditionalFormatting>
  <conditionalFormatting sqref="AO59:AO64 AO66:AO75">
    <cfRule type="expression" dxfId="126" priority="644" stopIfTrue="1">
      <formula>AP59="NA"</formula>
    </cfRule>
    <cfRule type="expression" dxfId="125" priority="645" stopIfTrue="1">
      <formula>AP59="A"</formula>
    </cfRule>
    <cfRule type="expression" dxfId="124" priority="646" stopIfTrue="1">
      <formula>AP59="AC"</formula>
    </cfRule>
  </conditionalFormatting>
  <conditionalFormatting sqref="B59:B64 B66:B75">
    <cfRule type="expression" dxfId="123" priority="635" stopIfTrue="1">
      <formula>AP59="NA"</formula>
    </cfRule>
    <cfRule type="expression" dxfId="122" priority="636" stopIfTrue="1">
      <formula>AP59="A"</formula>
    </cfRule>
    <cfRule type="expression" dxfId="121" priority="637" stopIfTrue="1">
      <formula>AP59="AC"</formula>
    </cfRule>
  </conditionalFormatting>
  <conditionalFormatting sqref="C75">
    <cfRule type="expression" dxfId="120" priority="632" stopIfTrue="1">
      <formula>AP75="NA"</formula>
    </cfRule>
    <cfRule type="expression" dxfId="119" priority="633" stopIfTrue="1">
      <formula>AP75="A"</formula>
    </cfRule>
    <cfRule type="expression" dxfId="118" priority="634" stopIfTrue="1">
      <formula>AP75="AC"</formula>
    </cfRule>
  </conditionalFormatting>
  <conditionalFormatting sqref="D59:D64 D66:D75">
    <cfRule type="expression" dxfId="117" priority="629" stopIfTrue="1">
      <formula>AP59="NA"</formula>
    </cfRule>
    <cfRule type="expression" dxfId="116" priority="630" stopIfTrue="1">
      <formula>AP59="A"</formula>
    </cfRule>
    <cfRule type="expression" dxfId="115" priority="631" stopIfTrue="1">
      <formula>AP59="AC"</formula>
    </cfRule>
  </conditionalFormatting>
  <conditionalFormatting sqref="E75">
    <cfRule type="expression" dxfId="114" priority="626" stopIfTrue="1">
      <formula>AP75="NA"</formula>
    </cfRule>
    <cfRule type="expression" dxfId="113" priority="627" stopIfTrue="1">
      <formula>AP75="A"</formula>
    </cfRule>
    <cfRule type="expression" dxfId="112" priority="628" stopIfTrue="1">
      <formula>AP75="AC"</formula>
    </cfRule>
  </conditionalFormatting>
  <conditionalFormatting sqref="AI75">
    <cfRule type="containsText" dxfId="111" priority="534" stopIfTrue="1" operator="containsText" text="A">
      <formula>NOT(ISERROR(SEARCH("A",AI75)))</formula>
    </cfRule>
  </conditionalFormatting>
  <conditionalFormatting sqref="AI75">
    <cfRule type="expression" dxfId="110" priority="544" stopIfTrue="1">
      <formula>#REF!="NA"</formula>
    </cfRule>
  </conditionalFormatting>
  <conditionalFormatting sqref="AI75">
    <cfRule type="containsText" dxfId="109" priority="533" stopIfTrue="1" operator="containsText" text="R">
      <formula>NOT(ISERROR(SEARCH("R",AI75)))</formula>
    </cfRule>
  </conditionalFormatting>
  <conditionalFormatting sqref="AM75">
    <cfRule type="expression" dxfId="108" priority="524" stopIfTrue="1">
      <formula>AP75="NA"</formula>
    </cfRule>
    <cfRule type="expression" dxfId="107" priority="525" stopIfTrue="1">
      <formula>AP75="A"</formula>
    </cfRule>
    <cfRule type="expression" dxfId="106" priority="526" stopIfTrue="1">
      <formula>AP75="AC"</formula>
    </cfRule>
  </conditionalFormatting>
  <conditionalFormatting sqref="AJ75">
    <cfRule type="expression" dxfId="105" priority="500" stopIfTrue="1">
      <formula>AM75="NA"</formula>
    </cfRule>
    <cfRule type="expression" dxfId="104" priority="501" stopIfTrue="1">
      <formula>AM75="A"</formula>
    </cfRule>
    <cfRule type="expression" dxfId="103" priority="502" stopIfTrue="1">
      <formula>AM75="AC"</formula>
    </cfRule>
  </conditionalFormatting>
  <conditionalFormatting sqref="AI59:AI64 AI66:AI74">
    <cfRule type="containsText" dxfId="102" priority="486" stopIfTrue="1" operator="containsText" text="A">
      <formula>NOT(ISERROR(SEARCH("A",AI59)))</formula>
    </cfRule>
  </conditionalFormatting>
  <conditionalFormatting sqref="AI59:AI64 AI66:AI74">
    <cfRule type="expression" dxfId="101" priority="487" stopIfTrue="1">
      <formula>#REF!="NA"</formula>
    </cfRule>
  </conditionalFormatting>
  <conditionalFormatting sqref="AI59:AI64 AI66:AI74">
    <cfRule type="containsText" dxfId="100" priority="485" stopIfTrue="1" operator="containsText" text="R">
      <formula>NOT(ISERROR(SEARCH("R",AI59)))</formula>
    </cfRule>
  </conditionalFormatting>
  <conditionalFormatting sqref="AG27">
    <cfRule type="expression" dxfId="99" priority="262">
      <formula>$AG27&lt;&gt;0</formula>
    </cfRule>
  </conditionalFormatting>
  <conditionalFormatting sqref="H75 H27:H57">
    <cfRule type="cellIs" dxfId="98" priority="261" operator="between">
      <formula>100%</formula>
      <formula>1</formula>
    </cfRule>
  </conditionalFormatting>
  <conditionalFormatting sqref="I75">
    <cfRule type="expression" dxfId="97" priority="250" stopIfTrue="1">
      <formula>#REF!="NA"</formula>
    </cfRule>
    <cfRule type="expression" dxfId="96" priority="251" stopIfTrue="1">
      <formula>#REF!="A"</formula>
    </cfRule>
    <cfRule type="expression" dxfId="95" priority="252" stopIfTrue="1">
      <formula>#REF!="AC"</formula>
    </cfRule>
  </conditionalFormatting>
  <conditionalFormatting sqref="H26">
    <cfRule type="cellIs" dxfId="94" priority="159" operator="between">
      <formula>100%</formula>
      <formula>1</formula>
    </cfRule>
  </conditionalFormatting>
  <conditionalFormatting sqref="J59:J64 J66:J74 J28">
    <cfRule type="expression" dxfId="93" priority="150">
      <formula>$I28&lt;$J28</formula>
    </cfRule>
    <cfRule type="expression" dxfId="92" priority="151">
      <formula>$I28&gt;=$J28</formula>
    </cfRule>
  </conditionalFormatting>
  <conditionalFormatting sqref="Z66:Z74 Z28:Z64">
    <cfRule type="expression" dxfId="91" priority="148">
      <formula>$Z28&gt;$V28</formula>
    </cfRule>
    <cfRule type="expression" dxfId="90" priority="149">
      <formula>$Z28&lt;=$V28</formula>
    </cfRule>
  </conditionalFormatting>
  <conditionalFormatting sqref="AD66:AD74 AD28:AD64">
    <cfRule type="expression" dxfId="89" priority="144">
      <formula>$AD28&gt;$X28</formula>
    </cfRule>
    <cfRule type="expression" dxfId="88" priority="145">
      <formula>$AD28&lt;=$X28</formula>
    </cfRule>
  </conditionalFormatting>
  <conditionalFormatting sqref="AF66:AF74 AF28:AF64">
    <cfRule type="expression" dxfId="87" priority="142">
      <formula>$AF28&gt;$Y28</formula>
    </cfRule>
    <cfRule type="expression" dxfId="86" priority="143">
      <formula>$AF28&lt;=$Y28</formula>
    </cfRule>
  </conditionalFormatting>
  <conditionalFormatting sqref="AB66:AB74 AB28:AB64">
    <cfRule type="expression" dxfId="85" priority="111">
      <formula>$AB28&gt;$W28</formula>
    </cfRule>
    <cfRule type="expression" dxfId="84" priority="112">
      <formula>$AB28&lt;=$W28</formula>
    </cfRule>
  </conditionalFormatting>
  <conditionalFormatting sqref="H66:H74 H59:H64">
    <cfRule type="cellIs" dxfId="83" priority="103" operator="between">
      <formula>100%</formula>
      <formula>1</formula>
    </cfRule>
  </conditionalFormatting>
  <conditionalFormatting sqref="H66:H74 H28:H57 H59:H64">
    <cfRule type="cellIs" dxfId="82" priority="100" operator="between">
      <formula>0.7</formula>
      <formula>1</formula>
    </cfRule>
    <cfRule type="cellIs" dxfId="81" priority="101" operator="between">
      <formula>0.3</formula>
      <formula>0.7</formula>
    </cfRule>
    <cfRule type="cellIs" dxfId="80" priority="102" operator="between">
      <formula>0</formula>
      <formula>0.3</formula>
    </cfRule>
  </conditionalFormatting>
  <conditionalFormatting sqref="G28 G40 G50">
    <cfRule type="expression" dxfId="79" priority="81" stopIfTrue="1">
      <formula>Q28="NA"</formula>
    </cfRule>
    <cfRule type="expression" dxfId="78" priority="82" stopIfTrue="1">
      <formula>Q28="A"</formula>
    </cfRule>
    <cfRule type="expression" dxfId="77" priority="83" stopIfTrue="1">
      <formula>Q28="AC"</formula>
    </cfRule>
  </conditionalFormatting>
  <conditionalFormatting sqref="G33">
    <cfRule type="expression" dxfId="76" priority="78" stopIfTrue="1">
      <formula>Q33="NA"</formula>
    </cfRule>
    <cfRule type="expression" dxfId="75" priority="79" stopIfTrue="1">
      <formula>Q33="A"</formula>
    </cfRule>
    <cfRule type="expression" dxfId="74" priority="80" stopIfTrue="1">
      <formula>Q33="AC"</formula>
    </cfRule>
  </conditionalFormatting>
  <conditionalFormatting sqref="G59:G64 G66:G74">
    <cfRule type="expression" dxfId="73" priority="69" stopIfTrue="1">
      <formula>Q59="NA"</formula>
    </cfRule>
    <cfRule type="expression" dxfId="72" priority="70" stopIfTrue="1">
      <formula>Q59="A"</formula>
    </cfRule>
    <cfRule type="expression" dxfId="71" priority="71" stopIfTrue="1">
      <formula>Q59="AC"</formula>
    </cfRule>
  </conditionalFormatting>
  <conditionalFormatting sqref="G26">
    <cfRule type="cellIs" dxfId="70" priority="65" operator="between">
      <formula>100%</formula>
      <formula>1</formula>
    </cfRule>
  </conditionalFormatting>
  <conditionalFormatting sqref="F59:F64 F66:F74">
    <cfRule type="expression" dxfId="69" priority="62" stopIfTrue="1">
      <formula>P59="NA"</formula>
    </cfRule>
    <cfRule type="expression" dxfId="68" priority="63" stopIfTrue="1">
      <formula>P59="A"</formula>
    </cfRule>
    <cfRule type="expression" dxfId="67" priority="64" stopIfTrue="1">
      <formula>P59="AC"</formula>
    </cfRule>
  </conditionalFormatting>
  <conditionalFormatting sqref="E65">
    <cfRule type="expression" dxfId="66" priority="59" stopIfTrue="1">
      <formula>AP65="NA"</formula>
    </cfRule>
    <cfRule type="expression" dxfId="65" priority="60" stopIfTrue="1">
      <formula>AP65="A"</formula>
    </cfRule>
    <cfRule type="expression" dxfId="64" priority="61" stopIfTrue="1">
      <formula>AP65="AC"</formula>
    </cfRule>
  </conditionalFormatting>
  <conditionalFormatting sqref="AL65">
    <cfRule type="expression" dxfId="63" priority="56" stopIfTrue="1">
      <formula>AP65="NA"</formula>
    </cfRule>
    <cfRule type="expression" dxfId="62" priority="57" stopIfTrue="1">
      <formula>AP65="A"</formula>
    </cfRule>
    <cfRule type="expression" dxfId="61" priority="58" stopIfTrue="1">
      <formula>AP65="AC"</formula>
    </cfRule>
  </conditionalFormatting>
  <conditionalFormatting sqref="AP65">
    <cfRule type="cellIs" dxfId="60" priority="53" stopIfTrue="1" operator="equal">
      <formula>"A"</formula>
    </cfRule>
    <cfRule type="cellIs" dxfId="59" priority="54" stopIfTrue="1" operator="equal">
      <formula>"NA"</formula>
    </cfRule>
    <cfRule type="cellIs" dxfId="58" priority="55" stopIfTrue="1" operator="equal">
      <formula>"AC"</formula>
    </cfRule>
  </conditionalFormatting>
  <conditionalFormatting sqref="C65">
    <cfRule type="expression" dxfId="57" priority="47" stopIfTrue="1">
      <formula>AP65="NA"</formula>
    </cfRule>
    <cfRule type="expression" dxfId="56" priority="48" stopIfTrue="1">
      <formula>AP65="A"</formula>
    </cfRule>
    <cfRule type="expression" dxfId="55" priority="49" stopIfTrue="1">
      <formula>AP65="AC"</formula>
    </cfRule>
  </conditionalFormatting>
  <conditionalFormatting sqref="AK65 AH65">
    <cfRule type="expression" dxfId="54" priority="44" stopIfTrue="1">
      <formula>AN65="NA"</formula>
    </cfRule>
    <cfRule type="expression" dxfId="53" priority="45" stopIfTrue="1">
      <formula>AN65="A"</formula>
    </cfRule>
    <cfRule type="expression" dxfId="52" priority="46" stopIfTrue="1">
      <formula>AN65="AC"</formula>
    </cfRule>
  </conditionalFormatting>
  <conditionalFormatting sqref="AJ65 AM65:AN65">
    <cfRule type="expression" dxfId="51" priority="41" stopIfTrue="1">
      <formula>AM65="NA"</formula>
    </cfRule>
    <cfRule type="expression" dxfId="50" priority="42" stopIfTrue="1">
      <formula>AM65="A"</formula>
    </cfRule>
    <cfRule type="expression" dxfId="49" priority="43" stopIfTrue="1">
      <formula>AM65="AC"</formula>
    </cfRule>
  </conditionalFormatting>
  <conditionalFormatting sqref="AO65">
    <cfRule type="expression" dxfId="48" priority="38" stopIfTrue="1">
      <formula>AP65="NA"</formula>
    </cfRule>
    <cfRule type="expression" dxfId="47" priority="39" stopIfTrue="1">
      <formula>AP65="A"</formula>
    </cfRule>
    <cfRule type="expression" dxfId="46" priority="40" stopIfTrue="1">
      <formula>AP65="AC"</formula>
    </cfRule>
  </conditionalFormatting>
  <conditionalFormatting sqref="B65">
    <cfRule type="expression" dxfId="45" priority="35" stopIfTrue="1">
      <formula>AP65="NA"</formula>
    </cfRule>
    <cfRule type="expression" dxfId="44" priority="36" stopIfTrue="1">
      <formula>AP65="A"</formula>
    </cfRule>
    <cfRule type="expression" dxfId="43" priority="37" stopIfTrue="1">
      <formula>AP65="AC"</formula>
    </cfRule>
  </conditionalFormatting>
  <conditionalFormatting sqref="D65">
    <cfRule type="expression" dxfId="42" priority="32" stopIfTrue="1">
      <formula>AP65="NA"</formula>
    </cfRule>
    <cfRule type="expression" dxfId="41" priority="33" stopIfTrue="1">
      <formula>AP65="A"</formula>
    </cfRule>
    <cfRule type="expression" dxfId="40" priority="34" stopIfTrue="1">
      <formula>AP65="AC"</formula>
    </cfRule>
  </conditionalFormatting>
  <conditionalFormatting sqref="AI65">
    <cfRule type="containsText" dxfId="39" priority="30" stopIfTrue="1" operator="containsText" text="A">
      <formula>NOT(ISERROR(SEARCH("A",AI65)))</formula>
    </cfRule>
  </conditionalFormatting>
  <conditionalFormatting sqref="AI65">
    <cfRule type="expression" dxfId="38" priority="31" stopIfTrue="1">
      <formula>#REF!="NA"</formula>
    </cfRule>
  </conditionalFormatting>
  <conditionalFormatting sqref="AI65">
    <cfRule type="containsText" dxfId="37" priority="29" stopIfTrue="1" operator="containsText" text="R">
      <formula>NOT(ISERROR(SEARCH("R",AI65)))</formula>
    </cfRule>
  </conditionalFormatting>
  <conditionalFormatting sqref="J65">
    <cfRule type="expression" dxfId="36" priority="26">
      <formula>$I65&lt;$J65</formula>
    </cfRule>
    <cfRule type="expression" dxfId="35" priority="27">
      <formula>$I65&gt;=$J65</formula>
    </cfRule>
  </conditionalFormatting>
  <conditionalFormatting sqref="Z65">
    <cfRule type="expression" dxfId="34" priority="24">
      <formula>$Z65&gt;$V65</formula>
    </cfRule>
    <cfRule type="expression" dxfId="33" priority="25">
      <formula>$Z65&lt;=$V65</formula>
    </cfRule>
  </conditionalFormatting>
  <conditionalFormatting sqref="AD65">
    <cfRule type="expression" dxfId="32" priority="22">
      <formula>$AD65&gt;$X65</formula>
    </cfRule>
    <cfRule type="expression" dxfId="31" priority="23">
      <formula>$AD65&lt;=$X65</formula>
    </cfRule>
  </conditionalFormatting>
  <conditionalFormatting sqref="AF65">
    <cfRule type="expression" dxfId="30" priority="20">
      <formula>$AF65&gt;$Y65</formula>
    </cfRule>
    <cfRule type="expression" dxfId="29" priority="21">
      <formula>$AF65&lt;=$Y65</formula>
    </cfRule>
  </conditionalFormatting>
  <conditionalFormatting sqref="AB65">
    <cfRule type="expression" dxfId="28" priority="17">
      <formula>$AB65&gt;$W65</formula>
    </cfRule>
    <cfRule type="expression" dxfId="27" priority="18">
      <formula>$AB65&lt;=$W65</formula>
    </cfRule>
  </conditionalFormatting>
  <conditionalFormatting sqref="H65">
    <cfRule type="cellIs" dxfId="26" priority="16" operator="between">
      <formula>100%</formula>
      <formula>1</formula>
    </cfRule>
  </conditionalFormatting>
  <conditionalFormatting sqref="H65">
    <cfRule type="cellIs" dxfId="25" priority="13" operator="between">
      <formula>0.7</formula>
      <formula>1</formula>
    </cfRule>
    <cfRule type="cellIs" dxfId="24" priority="14" operator="between">
      <formula>0.3</formula>
      <formula>0.7</formula>
    </cfRule>
    <cfRule type="cellIs" dxfId="23" priority="15" operator="between">
      <formula>0</formula>
      <formula>0.3</formula>
    </cfRule>
  </conditionalFormatting>
  <conditionalFormatting sqref="G65">
    <cfRule type="expression" dxfId="22" priority="10" stopIfTrue="1">
      <formula>Q65="NA"</formula>
    </cfRule>
    <cfRule type="expression" dxfId="21" priority="11" stopIfTrue="1">
      <formula>Q65="A"</formula>
    </cfRule>
    <cfRule type="expression" dxfId="20" priority="12" stopIfTrue="1">
      <formula>Q65="AC"</formula>
    </cfRule>
  </conditionalFormatting>
  <conditionalFormatting sqref="F65">
    <cfRule type="expression" dxfId="19" priority="7" stopIfTrue="1">
      <formula>P65="NA"</formula>
    </cfRule>
    <cfRule type="expression" dxfId="18" priority="8" stopIfTrue="1">
      <formula>P65="A"</formula>
    </cfRule>
    <cfRule type="expression" dxfId="17" priority="9" stopIfTrue="1">
      <formula>P65="AC"</formula>
    </cfRule>
  </conditionalFormatting>
  <conditionalFormatting sqref="J29:J32">
    <cfRule type="expression" dxfId="16" priority="5">
      <formula>$I29&lt;$J29</formula>
    </cfRule>
    <cfRule type="expression" dxfId="15" priority="6">
      <formula>$I29&gt;=$J29</formula>
    </cfRule>
  </conditionalFormatting>
  <conditionalFormatting sqref="J33:J57">
    <cfRule type="expression" dxfId="14" priority="3">
      <formula>$I33&lt;$J33</formula>
    </cfRule>
    <cfRule type="expression" dxfId="13" priority="4">
      <formula>$I33&gt;=$J33</formula>
    </cfRule>
  </conditionalFormatting>
  <conditionalFormatting sqref="H28:AG74">
    <cfRule type="containsText" dxfId="12" priority="2" operator="containsText" text="FALSE">
      <formula>NOT(ISERROR(SEARCH("FALSE",H28)))</formula>
    </cfRule>
    <cfRule type="cellIs" dxfId="11" priority="1" operator="between">
      <formula>0</formula>
      <formula>0</formula>
    </cfRule>
  </conditionalFormatting>
  <printOptions horizontalCentered="1"/>
  <pageMargins left="0.25" right="0.25" top="0.75" bottom="0.25" header="0.3" footer="0.3"/>
  <pageSetup paperSize="8" scale="5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3" operator="containsText" id="{B83C45C4-CCFB-4CB9-994D-C3FE4DEB2FE2}">
            <xm:f>NOT(ISERROR(SEARCH("A",L1)))</xm:f>
            <xm:f>"A"</xm:f>
            <x14:dxf>
              <fill>
                <patternFill>
                  <bgColor rgb="FF00B050"/>
                </patternFill>
              </fill>
            </x14:dxf>
          </x14:cfRule>
          <xm:sqref>BL1:BL20 BL22:BL25 BL59:BL64 L66:U75 BL66:BL1048576 BL27:BL57 L28:U64</xm:sqref>
        </x14:conditionalFormatting>
        <x14:conditionalFormatting xmlns:xm="http://schemas.microsoft.com/office/excel/2006/main">
          <x14:cfRule type="containsText" priority="162" operator="containsText" id="{0EED7BE0-F41A-4AD1-ACAC-05F04A532405}">
            <xm:f>NOT(ISERROR(SEARCH("A",BL58)))</xm:f>
            <xm:f>"A"</xm:f>
            <x14:dxf>
              <fill>
                <patternFill>
                  <bgColor rgb="FF00B050"/>
                </patternFill>
              </fill>
            </x14:dxf>
          </x14:cfRule>
          <xm:sqref>BL58</xm:sqref>
        </x14:conditionalFormatting>
        <x14:conditionalFormatting xmlns:xm="http://schemas.microsoft.com/office/excel/2006/main">
          <x14:cfRule type="containsText" priority="137" operator="containsText" id="{2A37B688-D5A4-4818-8D47-0A8CC5AE5995}">
            <xm:f>NOT(ISERROR(SEARCH("R",L28)))</xm:f>
            <xm:f>"R"</xm:f>
            <x14:dxf>
              <fill>
                <patternFill>
                  <bgColor rgb="FFFF0000"/>
                </patternFill>
              </fill>
            </x14:dxf>
          </x14:cfRule>
          <xm:sqref>L66:U74 L28:U64</xm:sqref>
        </x14:conditionalFormatting>
        <x14:conditionalFormatting xmlns:xm="http://schemas.microsoft.com/office/excel/2006/main">
          <x14:cfRule type="containsText" priority="28" operator="containsText" id="{CBB53BC1-36FD-4ED4-ADF4-C3AAFF09C892}">
            <xm:f>NOT(ISERROR(SEARCH("A",L65)))</xm:f>
            <xm:f>"A"</xm:f>
            <x14:dxf>
              <fill>
                <patternFill>
                  <bgColor rgb="FF00B050"/>
                </patternFill>
              </fill>
            </x14:dxf>
          </x14:cfRule>
          <xm:sqref>BL65 L65:U65</xm:sqref>
        </x14:conditionalFormatting>
        <x14:conditionalFormatting xmlns:xm="http://schemas.microsoft.com/office/excel/2006/main">
          <x14:cfRule type="containsText" priority="19" operator="containsText" id="{463883D2-5CD5-4086-90A7-E0C8D211272E}">
            <xm:f>NOT(ISERROR(SEARCH("R",L65)))</xm:f>
            <xm:f>"R"</xm:f>
            <x14:dxf>
              <fill>
                <patternFill>
                  <bgColor rgb="FFFF0000"/>
                </patternFill>
              </fill>
            </x14:dxf>
          </x14:cfRule>
          <xm:sqref>L65:U65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SHOP BOH</vt:lpstr>
      <vt:lpstr>'SHOP BOH'!Print_Area</vt:lpstr>
      <vt:lpstr>'SHOP BOH'!Print_Titles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anhkhoa</dc:creator>
  <cp:lastModifiedBy>Admin</cp:lastModifiedBy>
  <cp:lastPrinted>2018-09-27T08:13:20Z</cp:lastPrinted>
  <dcterms:created xsi:type="dcterms:W3CDTF">2018-08-29T01:29:32Z</dcterms:created>
  <dcterms:modified xsi:type="dcterms:W3CDTF">2019-04-28T04:09:12Z</dcterms:modified>
</cp:coreProperties>
</file>