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0" yWindow="-120" windowWidth="20736" windowHeight="11160"/>
  </bookViews>
  <sheets>
    <sheet name="TĐ .BOH" sheetId="1" r:id="rId1"/>
  </sheets>
  <definedNames>
    <definedName name="_xlnm.Print_Area" localSheetId="0">'TĐ .BOH'!$D$1:$AY$193</definedName>
    <definedName name="_xlnm.Print_Titles" localSheetId="0">'TĐ .BOH'!$14:$16</definedName>
  </definedNames>
  <calcPr calcId="145621"/>
</workbook>
</file>

<file path=xl/calcChain.xml><?xml version="1.0" encoding="utf-8"?>
<calcChain xmlns="http://schemas.openxmlformats.org/spreadsheetml/2006/main">
  <c r="K22" i="1" l="1"/>
  <c r="AW22" i="1" s="1"/>
  <c r="J22" i="1"/>
  <c r="V22" i="1" l="1"/>
  <c r="AP22" i="1"/>
  <c r="G22" i="1"/>
  <c r="T22" i="1"/>
  <c r="AB22" i="1"/>
  <c r="AL22" i="1"/>
  <c r="P22" i="1"/>
  <c r="X22" i="1"/>
  <c r="AF22" i="1"/>
  <c r="AT22" i="1"/>
  <c r="AD22" i="1"/>
  <c r="R22" i="1"/>
  <c r="Z22" i="1"/>
  <c r="AH22" i="1"/>
  <c r="AX22" i="1"/>
  <c r="S22" i="1"/>
  <c r="W22" i="1"/>
  <c r="AA22" i="1"/>
  <c r="AE22" i="1"/>
  <c r="AI22" i="1"/>
  <c r="AM22" i="1"/>
  <c r="AQ22" i="1"/>
  <c r="AU22" i="1"/>
  <c r="AJ22" i="1"/>
  <c r="AN22" i="1"/>
  <c r="AR22" i="1"/>
  <c r="AV22" i="1"/>
  <c r="Q22" i="1"/>
  <c r="U22" i="1"/>
  <c r="Y22" i="1"/>
  <c r="AC22" i="1"/>
  <c r="AG22" i="1"/>
  <c r="AK22" i="1"/>
  <c r="AO22" i="1"/>
  <c r="AS22" i="1"/>
  <c r="J23" i="1"/>
  <c r="K23" i="1"/>
  <c r="G23" i="1" s="1"/>
  <c r="J24" i="1"/>
  <c r="K24" i="1"/>
  <c r="J26" i="1"/>
  <c r="K26" i="1"/>
  <c r="J28" i="1"/>
  <c r="K28" i="1"/>
  <c r="J29" i="1"/>
  <c r="K29" i="1"/>
  <c r="J30" i="1"/>
  <c r="K30" i="1"/>
  <c r="J31" i="1"/>
  <c r="K31" i="1"/>
  <c r="K32" i="1"/>
  <c r="J33" i="1"/>
  <c r="K33" i="1"/>
  <c r="J34" i="1"/>
  <c r="K34" i="1"/>
  <c r="J35" i="1"/>
  <c r="K35" i="1"/>
  <c r="J36" i="1"/>
  <c r="K36" i="1"/>
  <c r="J38" i="1"/>
  <c r="K38" i="1"/>
  <c r="J39" i="1"/>
  <c r="G39" i="1" s="1"/>
  <c r="K39" i="1"/>
  <c r="J40" i="1"/>
  <c r="K40" i="1"/>
  <c r="J41" i="1"/>
  <c r="K41" i="1"/>
  <c r="J43" i="1"/>
  <c r="G43" i="1" s="1"/>
  <c r="K43" i="1"/>
  <c r="J44" i="1"/>
  <c r="K44" i="1"/>
  <c r="J45" i="1"/>
  <c r="G45" i="1" s="1"/>
  <c r="K45" i="1"/>
  <c r="J46" i="1"/>
  <c r="K46" i="1"/>
  <c r="I42" i="1"/>
  <c r="K42" i="1" s="1"/>
  <c r="H42" i="1"/>
  <c r="J42" i="1" s="1"/>
  <c r="I37" i="1"/>
  <c r="K37" i="1" s="1"/>
  <c r="H37" i="1"/>
  <c r="J37" i="1" s="1"/>
  <c r="I32" i="1"/>
  <c r="H32" i="1"/>
  <c r="J32" i="1" s="1"/>
  <c r="I27" i="1"/>
  <c r="I25" i="1" s="1"/>
  <c r="I19" i="1" s="1"/>
  <c r="H27" i="1"/>
  <c r="H25" i="1" s="1"/>
  <c r="H19" i="1" s="1"/>
  <c r="G35" i="1" l="1"/>
  <c r="G37" i="1"/>
  <c r="G31" i="1"/>
  <c r="G29" i="1"/>
  <c r="G33" i="1"/>
  <c r="G32" i="1"/>
  <c r="G42" i="1"/>
  <c r="G41" i="1"/>
  <c r="G46" i="1"/>
  <c r="G44" i="1"/>
  <c r="G40" i="1"/>
  <c r="G38" i="1"/>
  <c r="G36" i="1"/>
  <c r="G34" i="1"/>
  <c r="G30" i="1"/>
  <c r="G28" i="1"/>
  <c r="G26" i="1"/>
  <c r="G24" i="1"/>
  <c r="K27" i="1"/>
  <c r="K25" i="1"/>
  <c r="J27" i="1"/>
  <c r="J25" i="1"/>
  <c r="J50" i="1"/>
  <c r="K50" i="1"/>
  <c r="J51" i="1"/>
  <c r="K51" i="1"/>
  <c r="J52" i="1"/>
  <c r="K52" i="1"/>
  <c r="J53" i="1"/>
  <c r="K53" i="1"/>
  <c r="J54" i="1"/>
  <c r="K54" i="1"/>
  <c r="J55" i="1"/>
  <c r="K55" i="1"/>
  <c r="G55" i="1" s="1"/>
  <c r="J56" i="1"/>
  <c r="K56" i="1"/>
  <c r="J57" i="1"/>
  <c r="K57" i="1"/>
  <c r="G57" i="1" s="1"/>
  <c r="J58" i="1"/>
  <c r="K58" i="1"/>
  <c r="J59" i="1"/>
  <c r="K59" i="1"/>
  <c r="J60" i="1"/>
  <c r="K60" i="1"/>
  <c r="J61" i="1"/>
  <c r="K61" i="1"/>
  <c r="G61" i="1" s="1"/>
  <c r="J62" i="1"/>
  <c r="K62" i="1"/>
  <c r="J63" i="1"/>
  <c r="K63" i="1"/>
  <c r="G63" i="1" s="1"/>
  <c r="J64" i="1"/>
  <c r="K64" i="1"/>
  <c r="J65" i="1"/>
  <c r="K65" i="1"/>
  <c r="G65" i="1" s="1"/>
  <c r="J66" i="1"/>
  <c r="K66" i="1"/>
  <c r="J67" i="1"/>
  <c r="K67" i="1"/>
  <c r="J68" i="1"/>
  <c r="K68" i="1"/>
  <c r="J69" i="1"/>
  <c r="K69" i="1"/>
  <c r="G70" i="1"/>
  <c r="J71" i="1"/>
  <c r="K71" i="1"/>
  <c r="J72" i="1"/>
  <c r="K72" i="1"/>
  <c r="G72" i="1" s="1"/>
  <c r="J73" i="1"/>
  <c r="G73" i="1" s="1"/>
  <c r="K73" i="1"/>
  <c r="J74" i="1"/>
  <c r="K74" i="1"/>
  <c r="G74" i="1" s="1"/>
  <c r="J75" i="1"/>
  <c r="K75" i="1"/>
  <c r="J76" i="1"/>
  <c r="K76" i="1"/>
  <c r="G76" i="1" s="1"/>
  <c r="J77" i="1"/>
  <c r="K77" i="1"/>
  <c r="J78" i="1"/>
  <c r="K78" i="1"/>
  <c r="G78" i="1" s="1"/>
  <c r="J79" i="1"/>
  <c r="K79" i="1"/>
  <c r="J80" i="1"/>
  <c r="K80" i="1"/>
  <c r="G80" i="1" s="1"/>
  <c r="J81" i="1"/>
  <c r="K81" i="1"/>
  <c r="J82" i="1"/>
  <c r="K82" i="1"/>
  <c r="G82" i="1" s="1"/>
  <c r="J83" i="1"/>
  <c r="K83" i="1"/>
  <c r="J84" i="1"/>
  <c r="K84" i="1"/>
  <c r="G84" i="1" s="1"/>
  <c r="J85" i="1"/>
  <c r="K85" i="1"/>
  <c r="J86" i="1"/>
  <c r="K86" i="1"/>
  <c r="G86" i="1" s="1"/>
  <c r="J87" i="1"/>
  <c r="K87" i="1"/>
  <c r="J88" i="1"/>
  <c r="K88" i="1"/>
  <c r="G88" i="1" s="1"/>
  <c r="J89" i="1"/>
  <c r="K89" i="1"/>
  <c r="J90" i="1"/>
  <c r="K90" i="1"/>
  <c r="G90" i="1" s="1"/>
  <c r="J91" i="1"/>
  <c r="K91" i="1"/>
  <c r="G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G114" i="1"/>
  <c r="J115" i="1"/>
  <c r="K115" i="1"/>
  <c r="G115" i="1" s="1"/>
  <c r="J116" i="1"/>
  <c r="K116" i="1"/>
  <c r="J117" i="1"/>
  <c r="K117" i="1"/>
  <c r="G117" i="1" s="1"/>
  <c r="J118" i="1"/>
  <c r="K118" i="1"/>
  <c r="J119" i="1"/>
  <c r="K119" i="1"/>
  <c r="G119" i="1" s="1"/>
  <c r="J120" i="1"/>
  <c r="K120" i="1"/>
  <c r="J121" i="1"/>
  <c r="K121" i="1"/>
  <c r="G121" i="1" s="1"/>
  <c r="J122" i="1"/>
  <c r="K122" i="1"/>
  <c r="J123" i="1"/>
  <c r="K123" i="1"/>
  <c r="G123" i="1" s="1"/>
  <c r="J124" i="1"/>
  <c r="K124" i="1"/>
  <c r="J125" i="1"/>
  <c r="K125" i="1"/>
  <c r="G125" i="1" s="1"/>
  <c r="J126" i="1"/>
  <c r="K126" i="1"/>
  <c r="J127" i="1"/>
  <c r="K127" i="1"/>
  <c r="G127" i="1" s="1"/>
  <c r="J128" i="1"/>
  <c r="K128" i="1"/>
  <c r="J129" i="1"/>
  <c r="K129" i="1"/>
  <c r="G129" i="1" s="1"/>
  <c r="J130" i="1"/>
  <c r="K130" i="1"/>
  <c r="J131" i="1"/>
  <c r="K131" i="1"/>
  <c r="G131" i="1" s="1"/>
  <c r="J132" i="1"/>
  <c r="K132" i="1"/>
  <c r="G51" i="1"/>
  <c r="G53" i="1"/>
  <c r="G59" i="1"/>
  <c r="G67" i="1"/>
  <c r="G69" i="1"/>
  <c r="G71" i="1"/>
  <c r="D50" i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G113" i="1" l="1"/>
  <c r="G111" i="1"/>
  <c r="G109" i="1"/>
  <c r="G105" i="1"/>
  <c r="G101" i="1"/>
  <c r="G95" i="1"/>
  <c r="G93" i="1"/>
  <c r="G91" i="1"/>
  <c r="G27" i="1"/>
  <c r="G25" i="1"/>
  <c r="G112" i="1"/>
  <c r="G110" i="1"/>
  <c r="G108" i="1"/>
  <c r="G106" i="1"/>
  <c r="G104" i="1"/>
  <c r="G102" i="1"/>
  <c r="G100" i="1"/>
  <c r="G98" i="1"/>
  <c r="G96" i="1"/>
  <c r="G94" i="1"/>
  <c r="G107" i="1"/>
  <c r="G103" i="1"/>
  <c r="G99" i="1"/>
  <c r="G89" i="1"/>
  <c r="G87" i="1"/>
  <c r="G85" i="1"/>
  <c r="G83" i="1"/>
  <c r="G81" i="1"/>
  <c r="G79" i="1"/>
  <c r="G77" i="1"/>
  <c r="G75" i="1"/>
  <c r="G68" i="1"/>
  <c r="G66" i="1"/>
  <c r="G64" i="1"/>
  <c r="G62" i="1"/>
  <c r="G60" i="1"/>
  <c r="G128" i="1"/>
  <c r="G126" i="1"/>
  <c r="G124" i="1"/>
  <c r="G122" i="1"/>
  <c r="G120" i="1"/>
  <c r="G118" i="1"/>
  <c r="G116" i="1"/>
  <c r="G97" i="1"/>
  <c r="G130" i="1"/>
  <c r="G58" i="1"/>
  <c r="G56" i="1"/>
  <c r="G54" i="1"/>
  <c r="G52" i="1"/>
  <c r="G50" i="1"/>
  <c r="J137" i="1" l="1"/>
  <c r="K137" i="1"/>
  <c r="J138" i="1"/>
  <c r="K138" i="1"/>
  <c r="J139" i="1"/>
  <c r="K139" i="1"/>
  <c r="G137" i="1" l="1"/>
  <c r="G139" i="1"/>
  <c r="G138" i="1"/>
  <c r="K49" i="1"/>
  <c r="K133" i="1"/>
  <c r="K134" i="1"/>
  <c r="K135" i="1"/>
  <c r="K136" i="1"/>
  <c r="J49" i="1"/>
  <c r="J133" i="1"/>
  <c r="J134" i="1"/>
  <c r="J135" i="1"/>
  <c r="J136" i="1"/>
  <c r="G132" i="1" l="1"/>
  <c r="G135" i="1"/>
  <c r="G136" i="1"/>
  <c r="J21" i="1" l="1"/>
  <c r="K21" i="1"/>
  <c r="K20" i="1"/>
  <c r="J20" i="1"/>
  <c r="AY13" i="1"/>
  <c r="AG14" i="1"/>
  <c r="BA7" i="1" l="1"/>
  <c r="P16" i="1" l="1"/>
  <c r="I47" i="1"/>
  <c r="P23" i="1" l="1"/>
  <c r="P27" i="1"/>
  <c r="P29" i="1"/>
  <c r="P24" i="1"/>
  <c r="P30" i="1"/>
  <c r="P25" i="1"/>
  <c r="P31" i="1"/>
  <c r="P26" i="1"/>
  <c r="P28" i="1"/>
  <c r="P32" i="1"/>
  <c r="P35" i="1"/>
  <c r="P36" i="1"/>
  <c r="P38" i="1"/>
  <c r="P42" i="1"/>
  <c r="P33" i="1"/>
  <c r="P37" i="1"/>
  <c r="P34" i="1"/>
  <c r="P40" i="1"/>
  <c r="P39" i="1"/>
  <c r="P45" i="1"/>
  <c r="P41" i="1"/>
  <c r="P46" i="1"/>
  <c r="P43" i="1"/>
  <c r="P44" i="1"/>
  <c r="P53" i="1"/>
  <c r="P57" i="1"/>
  <c r="P55" i="1"/>
  <c r="P59" i="1"/>
  <c r="P60" i="1"/>
  <c r="P51" i="1"/>
  <c r="P62" i="1"/>
  <c r="P65" i="1"/>
  <c r="P69" i="1"/>
  <c r="P61" i="1"/>
  <c r="P66" i="1"/>
  <c r="P70" i="1"/>
  <c r="P63" i="1"/>
  <c r="P67" i="1"/>
  <c r="P71" i="1"/>
  <c r="P73" i="1"/>
  <c r="P77" i="1"/>
  <c r="P74" i="1"/>
  <c r="P78" i="1"/>
  <c r="P68" i="1"/>
  <c r="P75" i="1"/>
  <c r="P79" i="1"/>
  <c r="P81" i="1"/>
  <c r="P85" i="1"/>
  <c r="P64" i="1"/>
  <c r="P82" i="1"/>
  <c r="P86" i="1"/>
  <c r="P76" i="1"/>
  <c r="P83" i="1"/>
  <c r="P87" i="1"/>
  <c r="P90" i="1"/>
  <c r="P94" i="1"/>
  <c r="P98" i="1"/>
  <c r="P102" i="1"/>
  <c r="P91" i="1"/>
  <c r="P95" i="1"/>
  <c r="P99" i="1"/>
  <c r="P103" i="1"/>
  <c r="P84" i="1"/>
  <c r="P88" i="1"/>
  <c r="P92" i="1"/>
  <c r="P96" i="1"/>
  <c r="P93" i="1"/>
  <c r="P105" i="1"/>
  <c r="P109" i="1"/>
  <c r="P113" i="1"/>
  <c r="P72" i="1"/>
  <c r="P80" i="1"/>
  <c r="P89" i="1"/>
  <c r="P100" i="1"/>
  <c r="P106" i="1"/>
  <c r="P110" i="1"/>
  <c r="P114" i="1"/>
  <c r="P101" i="1"/>
  <c r="P107" i="1"/>
  <c r="P111" i="1"/>
  <c r="P115" i="1"/>
  <c r="P108" i="1"/>
  <c r="P119" i="1"/>
  <c r="P123" i="1"/>
  <c r="P127" i="1"/>
  <c r="P131" i="1"/>
  <c r="P97" i="1"/>
  <c r="P118" i="1"/>
  <c r="P122" i="1"/>
  <c r="P130" i="1"/>
  <c r="P104" i="1"/>
  <c r="P116" i="1"/>
  <c r="P120" i="1"/>
  <c r="P124" i="1"/>
  <c r="P128" i="1"/>
  <c r="P126" i="1"/>
  <c r="P117" i="1"/>
  <c r="P121" i="1"/>
  <c r="P125" i="1"/>
  <c r="P129" i="1"/>
  <c r="P112" i="1"/>
  <c r="P54" i="1"/>
  <c r="P50" i="1"/>
  <c r="P52" i="1"/>
  <c r="P58" i="1"/>
  <c r="P56" i="1"/>
  <c r="P137" i="1"/>
  <c r="P138" i="1"/>
  <c r="P139" i="1"/>
  <c r="P135" i="1"/>
  <c r="P136" i="1"/>
  <c r="I17" i="1"/>
  <c r="K47" i="1" l="1"/>
  <c r="K19" i="1"/>
  <c r="G49" i="1"/>
  <c r="G20" i="1"/>
  <c r="G21" i="1"/>
  <c r="K17" i="1" l="1"/>
  <c r="G133" i="1"/>
  <c r="O191" i="1" l="1"/>
  <c r="O190" i="1" s="1"/>
  <c r="O189" i="1" s="1"/>
  <c r="O188" i="1" s="1"/>
  <c r="O187" i="1" s="1"/>
  <c r="O186" i="1" s="1"/>
  <c r="O185" i="1" s="1"/>
  <c r="O184" i="1" s="1"/>
  <c r="O183" i="1" s="1"/>
  <c r="O182" i="1" s="1"/>
  <c r="O181" i="1" s="1"/>
  <c r="O180" i="1" s="1"/>
  <c r="O179" i="1" s="1"/>
  <c r="O178" i="1" s="1"/>
  <c r="O177" i="1" s="1"/>
  <c r="O176" i="1" s="1"/>
  <c r="O175" i="1" s="1"/>
  <c r="O174" i="1" s="1"/>
  <c r="O173" i="1" s="1"/>
  <c r="O172" i="1" s="1"/>
  <c r="O171" i="1" s="1"/>
  <c r="O170" i="1" s="1"/>
  <c r="O169" i="1" s="1"/>
  <c r="O168" i="1" s="1"/>
  <c r="J19" i="1" l="1"/>
  <c r="O167" i="1"/>
  <c r="H47" i="1" l="1"/>
  <c r="P134" i="1"/>
  <c r="P48" i="1"/>
  <c r="P49" i="1"/>
  <c r="P132" i="1"/>
  <c r="P21" i="1"/>
  <c r="P133" i="1"/>
  <c r="P47" i="1"/>
  <c r="P19" i="1"/>
  <c r="P20" i="1"/>
  <c r="O166" i="1"/>
  <c r="Q16" i="1"/>
  <c r="P193" i="1"/>
  <c r="Q26" i="1" l="1"/>
  <c r="Q28" i="1"/>
  <c r="Q32" i="1"/>
  <c r="Q23" i="1"/>
  <c r="Q27" i="1"/>
  <c r="Q29" i="1"/>
  <c r="Q24" i="1"/>
  <c r="Q30" i="1"/>
  <c r="Q25" i="1"/>
  <c r="Q31" i="1"/>
  <c r="Q34" i="1"/>
  <c r="Q35" i="1"/>
  <c r="Q41" i="1"/>
  <c r="Q36" i="1"/>
  <c r="Q33" i="1"/>
  <c r="Q37" i="1"/>
  <c r="Q39" i="1"/>
  <c r="Q42" i="1"/>
  <c r="Q46" i="1"/>
  <c r="Q43" i="1"/>
  <c r="Q38" i="1"/>
  <c r="Q40" i="1"/>
  <c r="Q44" i="1"/>
  <c r="Q45" i="1"/>
  <c r="Q55" i="1"/>
  <c r="Q60" i="1"/>
  <c r="Q51" i="1"/>
  <c r="Q57" i="1"/>
  <c r="Q53" i="1"/>
  <c r="Q59" i="1"/>
  <c r="Q62" i="1"/>
  <c r="Q63" i="1"/>
  <c r="Q65" i="1"/>
  <c r="Q69" i="1"/>
  <c r="Q66" i="1"/>
  <c r="Q70" i="1"/>
  <c r="Q67" i="1"/>
  <c r="Q71" i="1"/>
  <c r="Q64" i="1"/>
  <c r="Q73" i="1"/>
  <c r="Q77" i="1"/>
  <c r="Q74" i="1"/>
  <c r="Q78" i="1"/>
  <c r="Q75" i="1"/>
  <c r="Q79" i="1"/>
  <c r="Q61" i="1"/>
  <c r="Q72" i="1"/>
  <c r="Q81" i="1"/>
  <c r="Q85" i="1"/>
  <c r="Q82" i="1"/>
  <c r="Q86" i="1"/>
  <c r="Q68" i="1"/>
  <c r="Q83" i="1"/>
  <c r="Q87" i="1"/>
  <c r="Q76" i="1"/>
  <c r="Q80" i="1"/>
  <c r="Q90" i="1"/>
  <c r="Q94" i="1"/>
  <c r="Q98" i="1"/>
  <c r="Q102" i="1"/>
  <c r="Q91" i="1"/>
  <c r="Q95" i="1"/>
  <c r="Q99" i="1"/>
  <c r="Q103" i="1"/>
  <c r="Q88" i="1"/>
  <c r="Q92" i="1"/>
  <c r="Q96" i="1"/>
  <c r="Q97" i="1"/>
  <c r="Q101" i="1"/>
  <c r="Q105" i="1"/>
  <c r="Q109" i="1"/>
  <c r="Q113" i="1"/>
  <c r="Q93" i="1"/>
  <c r="Q106" i="1"/>
  <c r="Q110" i="1"/>
  <c r="Q114" i="1"/>
  <c r="Q84" i="1"/>
  <c r="Q89" i="1"/>
  <c r="Q107" i="1"/>
  <c r="Q111" i="1"/>
  <c r="Q115" i="1"/>
  <c r="Q112" i="1"/>
  <c r="Q119" i="1"/>
  <c r="Q123" i="1"/>
  <c r="Q127" i="1"/>
  <c r="Q131" i="1"/>
  <c r="Q126" i="1"/>
  <c r="Q108" i="1"/>
  <c r="Q116" i="1"/>
  <c r="Q120" i="1"/>
  <c r="Q124" i="1"/>
  <c r="Q128" i="1"/>
  <c r="Q130" i="1"/>
  <c r="Q100" i="1"/>
  <c r="Q104" i="1"/>
  <c r="Q117" i="1"/>
  <c r="Q121" i="1"/>
  <c r="Q125" i="1"/>
  <c r="Q129" i="1"/>
  <c r="Q118" i="1"/>
  <c r="Q122" i="1"/>
  <c r="Q56" i="1"/>
  <c r="Q52" i="1"/>
  <c r="Q54" i="1"/>
  <c r="Q50" i="1"/>
  <c r="Q58" i="1"/>
  <c r="Q139" i="1"/>
  <c r="Q137" i="1"/>
  <c r="Q138" i="1"/>
  <c r="Q136" i="1"/>
  <c r="Q135" i="1"/>
  <c r="G134" i="1"/>
  <c r="P195" i="1"/>
  <c r="P194" i="1"/>
  <c r="Q49" i="1"/>
  <c r="Q132" i="1"/>
  <c r="Q133" i="1"/>
  <c r="Q47" i="1"/>
  <c r="Q48" i="1"/>
  <c r="Q19" i="1"/>
  <c r="Q134" i="1"/>
  <c r="Q20" i="1"/>
  <c r="Q21" i="1"/>
  <c r="P196" i="1"/>
  <c r="O165" i="1"/>
  <c r="R16" i="1"/>
  <c r="Q193" i="1"/>
  <c r="R25" i="1" l="1"/>
  <c r="R31" i="1"/>
  <c r="R26" i="1"/>
  <c r="R28" i="1"/>
  <c r="R32" i="1"/>
  <c r="R23" i="1"/>
  <c r="R27" i="1"/>
  <c r="R29" i="1"/>
  <c r="R24" i="1"/>
  <c r="R30" i="1"/>
  <c r="R33" i="1"/>
  <c r="R37" i="1"/>
  <c r="R34" i="1"/>
  <c r="R40" i="1"/>
  <c r="R35" i="1"/>
  <c r="R36" i="1"/>
  <c r="R38" i="1"/>
  <c r="R42" i="1"/>
  <c r="R45" i="1"/>
  <c r="R39" i="1"/>
  <c r="R46" i="1"/>
  <c r="R41" i="1"/>
  <c r="R43" i="1"/>
  <c r="R44" i="1"/>
  <c r="R57" i="1"/>
  <c r="R51" i="1"/>
  <c r="R59" i="1"/>
  <c r="R60" i="1"/>
  <c r="R53" i="1"/>
  <c r="R55" i="1"/>
  <c r="R62" i="1"/>
  <c r="R65" i="1"/>
  <c r="R69" i="1"/>
  <c r="R61" i="1"/>
  <c r="R66" i="1"/>
  <c r="R70" i="1"/>
  <c r="R63" i="1"/>
  <c r="R67" i="1"/>
  <c r="R71" i="1"/>
  <c r="R68" i="1"/>
  <c r="R73" i="1"/>
  <c r="R77" i="1"/>
  <c r="R64" i="1"/>
  <c r="R74" i="1"/>
  <c r="R78" i="1"/>
  <c r="R75" i="1"/>
  <c r="R79" i="1"/>
  <c r="R76" i="1"/>
  <c r="R81" i="1"/>
  <c r="R85" i="1"/>
  <c r="R72" i="1"/>
  <c r="R82" i="1"/>
  <c r="R86" i="1"/>
  <c r="R83" i="1"/>
  <c r="R87" i="1"/>
  <c r="R84" i="1"/>
  <c r="R90" i="1"/>
  <c r="R94" i="1"/>
  <c r="R98" i="1"/>
  <c r="R102" i="1"/>
  <c r="R80" i="1"/>
  <c r="R91" i="1"/>
  <c r="R95" i="1"/>
  <c r="R99" i="1"/>
  <c r="R103" i="1"/>
  <c r="R88" i="1"/>
  <c r="R92" i="1"/>
  <c r="R96" i="1"/>
  <c r="R105" i="1"/>
  <c r="R109" i="1"/>
  <c r="R113" i="1"/>
  <c r="R97" i="1"/>
  <c r="R100" i="1"/>
  <c r="R106" i="1"/>
  <c r="R110" i="1"/>
  <c r="R114" i="1"/>
  <c r="R93" i="1"/>
  <c r="R101" i="1"/>
  <c r="R107" i="1"/>
  <c r="R111" i="1"/>
  <c r="R115" i="1"/>
  <c r="R119" i="1"/>
  <c r="R123" i="1"/>
  <c r="R127" i="1"/>
  <c r="R131" i="1"/>
  <c r="R112" i="1"/>
  <c r="R116" i="1"/>
  <c r="R120" i="1"/>
  <c r="R124" i="1"/>
  <c r="R128" i="1"/>
  <c r="R104" i="1"/>
  <c r="R118" i="1"/>
  <c r="R122" i="1"/>
  <c r="R89" i="1"/>
  <c r="R108" i="1"/>
  <c r="R117" i="1"/>
  <c r="R121" i="1"/>
  <c r="R125" i="1"/>
  <c r="R129" i="1"/>
  <c r="R126" i="1"/>
  <c r="R130" i="1"/>
  <c r="R58" i="1"/>
  <c r="R56" i="1"/>
  <c r="R52" i="1"/>
  <c r="R54" i="1"/>
  <c r="R50" i="1"/>
  <c r="R137" i="1"/>
  <c r="R138" i="1"/>
  <c r="R139" i="1"/>
  <c r="R136" i="1"/>
  <c r="R135" i="1"/>
  <c r="Q195" i="1"/>
  <c r="Q196" i="1"/>
  <c r="R132" i="1"/>
  <c r="R133" i="1"/>
  <c r="R47" i="1"/>
  <c r="R134" i="1"/>
  <c r="R48" i="1"/>
  <c r="R49" i="1"/>
  <c r="R19" i="1"/>
  <c r="R20" i="1"/>
  <c r="R21" i="1"/>
  <c r="Q194" i="1"/>
  <c r="O164" i="1"/>
  <c r="S16" i="1"/>
  <c r="R193" i="1"/>
  <c r="S24" i="1" l="1"/>
  <c r="S30" i="1"/>
  <c r="S25" i="1"/>
  <c r="S31" i="1"/>
  <c r="S26" i="1"/>
  <c r="S28" i="1"/>
  <c r="S32" i="1"/>
  <c r="S23" i="1"/>
  <c r="S27" i="1"/>
  <c r="S29" i="1"/>
  <c r="S36" i="1"/>
  <c r="S33" i="1"/>
  <c r="S37" i="1"/>
  <c r="S39" i="1"/>
  <c r="S34" i="1"/>
  <c r="S35" i="1"/>
  <c r="S41" i="1"/>
  <c r="S42" i="1"/>
  <c r="S46" i="1"/>
  <c r="S43" i="1"/>
  <c r="S38" i="1"/>
  <c r="S44" i="1"/>
  <c r="S40" i="1"/>
  <c r="S45" i="1"/>
  <c r="S51" i="1"/>
  <c r="S53" i="1"/>
  <c r="S60" i="1"/>
  <c r="S55" i="1"/>
  <c r="S57" i="1"/>
  <c r="S59" i="1"/>
  <c r="S62" i="1"/>
  <c r="S63" i="1"/>
  <c r="S65" i="1"/>
  <c r="S69" i="1"/>
  <c r="S66" i="1"/>
  <c r="S70" i="1"/>
  <c r="S67" i="1"/>
  <c r="S71" i="1"/>
  <c r="S61" i="1"/>
  <c r="S73" i="1"/>
  <c r="S77" i="1"/>
  <c r="S68" i="1"/>
  <c r="S74" i="1"/>
  <c r="S78" i="1"/>
  <c r="S64" i="1"/>
  <c r="S75" i="1"/>
  <c r="S79" i="1"/>
  <c r="S81" i="1"/>
  <c r="S85" i="1"/>
  <c r="S76" i="1"/>
  <c r="S82" i="1"/>
  <c r="S86" i="1"/>
  <c r="S72" i="1"/>
  <c r="S83" i="1"/>
  <c r="S87" i="1"/>
  <c r="S90" i="1"/>
  <c r="S94" i="1"/>
  <c r="S98" i="1"/>
  <c r="S102" i="1"/>
  <c r="S84" i="1"/>
  <c r="S91" i="1"/>
  <c r="S95" i="1"/>
  <c r="S99" i="1"/>
  <c r="S103" i="1"/>
  <c r="S80" i="1"/>
  <c r="S88" i="1"/>
  <c r="S92" i="1"/>
  <c r="S96" i="1"/>
  <c r="S89" i="1"/>
  <c r="S101" i="1"/>
  <c r="S105" i="1"/>
  <c r="S109" i="1"/>
  <c r="S113" i="1"/>
  <c r="S106" i="1"/>
  <c r="S110" i="1"/>
  <c r="S114" i="1"/>
  <c r="S97" i="1"/>
  <c r="S107" i="1"/>
  <c r="S111" i="1"/>
  <c r="S115" i="1"/>
  <c r="S104" i="1"/>
  <c r="S119" i="1"/>
  <c r="S123" i="1"/>
  <c r="S127" i="1"/>
  <c r="S131" i="1"/>
  <c r="S93" i="1"/>
  <c r="S100" i="1"/>
  <c r="S108" i="1"/>
  <c r="S130" i="1"/>
  <c r="S116" i="1"/>
  <c r="S120" i="1"/>
  <c r="S124" i="1"/>
  <c r="S128" i="1"/>
  <c r="S126" i="1"/>
  <c r="S112" i="1"/>
  <c r="S117" i="1"/>
  <c r="S121" i="1"/>
  <c r="S125" i="1"/>
  <c r="S129" i="1"/>
  <c r="S118" i="1"/>
  <c r="S122" i="1"/>
  <c r="S50" i="1"/>
  <c r="S58" i="1"/>
  <c r="S56" i="1"/>
  <c r="S54" i="1"/>
  <c r="S52" i="1"/>
  <c r="S139" i="1"/>
  <c r="S137" i="1"/>
  <c r="S138" i="1"/>
  <c r="S135" i="1"/>
  <c r="S136" i="1"/>
  <c r="R196" i="1"/>
  <c r="R194" i="1"/>
  <c r="R195" i="1"/>
  <c r="S133" i="1"/>
  <c r="S47" i="1"/>
  <c r="S134" i="1"/>
  <c r="S48" i="1"/>
  <c r="S49" i="1"/>
  <c r="S20" i="1"/>
  <c r="S21" i="1"/>
  <c r="S132" i="1"/>
  <c r="S19" i="1"/>
  <c r="O163" i="1"/>
  <c r="T16" i="1"/>
  <c r="S193" i="1"/>
  <c r="T23" i="1" l="1"/>
  <c r="T27" i="1"/>
  <c r="T29" i="1"/>
  <c r="T24" i="1"/>
  <c r="T30" i="1"/>
  <c r="T25" i="1"/>
  <c r="T31" i="1"/>
  <c r="T26" i="1"/>
  <c r="T28" i="1"/>
  <c r="T32" i="1"/>
  <c r="T35" i="1"/>
  <c r="T36" i="1"/>
  <c r="T38" i="1"/>
  <c r="T42" i="1"/>
  <c r="T33" i="1"/>
  <c r="T37" i="1"/>
  <c r="T34" i="1"/>
  <c r="T40" i="1"/>
  <c r="T45" i="1"/>
  <c r="T46" i="1"/>
  <c r="T43" i="1"/>
  <c r="T39" i="1"/>
  <c r="T41" i="1"/>
  <c r="T44" i="1"/>
  <c r="T53" i="1"/>
  <c r="T57" i="1"/>
  <c r="T55" i="1"/>
  <c r="T59" i="1"/>
  <c r="T60" i="1"/>
  <c r="T51" i="1"/>
  <c r="T62" i="1"/>
  <c r="T65" i="1"/>
  <c r="T69" i="1"/>
  <c r="T61" i="1"/>
  <c r="T66" i="1"/>
  <c r="T70" i="1"/>
  <c r="T63" i="1"/>
  <c r="T67" i="1"/>
  <c r="T71" i="1"/>
  <c r="T73" i="1"/>
  <c r="T77" i="1"/>
  <c r="T74" i="1"/>
  <c r="T78" i="1"/>
  <c r="T68" i="1"/>
  <c r="T75" i="1"/>
  <c r="T79" i="1"/>
  <c r="T81" i="1"/>
  <c r="T85" i="1"/>
  <c r="T82" i="1"/>
  <c r="T86" i="1"/>
  <c r="T64" i="1"/>
  <c r="T76" i="1"/>
  <c r="T83" i="1"/>
  <c r="T87" i="1"/>
  <c r="T72" i="1"/>
  <c r="T90" i="1"/>
  <c r="T94" i="1"/>
  <c r="T98" i="1"/>
  <c r="T102" i="1"/>
  <c r="T91" i="1"/>
  <c r="T95" i="1"/>
  <c r="T99" i="1"/>
  <c r="T103" i="1"/>
  <c r="T84" i="1"/>
  <c r="T88" i="1"/>
  <c r="T92" i="1"/>
  <c r="T96" i="1"/>
  <c r="T93" i="1"/>
  <c r="T105" i="1"/>
  <c r="T109" i="1"/>
  <c r="T113" i="1"/>
  <c r="T89" i="1"/>
  <c r="T100" i="1"/>
  <c r="T106" i="1"/>
  <c r="T110" i="1"/>
  <c r="T114" i="1"/>
  <c r="T80" i="1"/>
  <c r="T101" i="1"/>
  <c r="T107" i="1"/>
  <c r="T111" i="1"/>
  <c r="T115" i="1"/>
  <c r="T97" i="1"/>
  <c r="T108" i="1"/>
  <c r="T119" i="1"/>
  <c r="T123" i="1"/>
  <c r="T127" i="1"/>
  <c r="T131" i="1"/>
  <c r="T112" i="1"/>
  <c r="T118" i="1"/>
  <c r="T122" i="1"/>
  <c r="T126" i="1"/>
  <c r="T104" i="1"/>
  <c r="T116" i="1"/>
  <c r="T120" i="1"/>
  <c r="T124" i="1"/>
  <c r="T128" i="1"/>
  <c r="T130" i="1"/>
  <c r="T117" i="1"/>
  <c r="T121" i="1"/>
  <c r="T125" i="1"/>
  <c r="T129" i="1"/>
  <c r="T52" i="1"/>
  <c r="T58" i="1"/>
  <c r="T56" i="1"/>
  <c r="T54" i="1"/>
  <c r="T50" i="1"/>
  <c r="T137" i="1"/>
  <c r="T138" i="1"/>
  <c r="T139" i="1"/>
  <c r="T135" i="1"/>
  <c r="T136" i="1"/>
  <c r="J47" i="1"/>
  <c r="S195" i="1"/>
  <c r="S196" i="1"/>
  <c r="T134" i="1"/>
  <c r="T48" i="1"/>
  <c r="T49" i="1"/>
  <c r="T132" i="1"/>
  <c r="T21" i="1"/>
  <c r="T47" i="1"/>
  <c r="T133" i="1"/>
  <c r="T19" i="1"/>
  <c r="T20" i="1"/>
  <c r="S194" i="1"/>
  <c r="O162" i="1"/>
  <c r="U16" i="1"/>
  <c r="T193" i="1"/>
  <c r="U26" i="1" l="1"/>
  <c r="U28" i="1"/>
  <c r="U32" i="1"/>
  <c r="U23" i="1"/>
  <c r="U27" i="1"/>
  <c r="U29" i="1"/>
  <c r="U24" i="1"/>
  <c r="U30" i="1"/>
  <c r="U25" i="1"/>
  <c r="U31" i="1"/>
  <c r="U34" i="1"/>
  <c r="U35" i="1"/>
  <c r="U41" i="1"/>
  <c r="U36" i="1"/>
  <c r="U33" i="1"/>
  <c r="U37" i="1"/>
  <c r="U39" i="1"/>
  <c r="U38" i="1"/>
  <c r="U40" i="1"/>
  <c r="U46" i="1"/>
  <c r="U42" i="1"/>
  <c r="U43" i="1"/>
  <c r="U44" i="1"/>
  <c r="U45" i="1"/>
  <c r="U55" i="1"/>
  <c r="U60" i="1"/>
  <c r="U51" i="1"/>
  <c r="U57" i="1"/>
  <c r="U53" i="1"/>
  <c r="U59" i="1"/>
  <c r="U62" i="1"/>
  <c r="U63" i="1"/>
  <c r="U65" i="1"/>
  <c r="U69" i="1"/>
  <c r="U66" i="1"/>
  <c r="U70" i="1"/>
  <c r="U67" i="1"/>
  <c r="U71" i="1"/>
  <c r="U64" i="1"/>
  <c r="U73" i="1"/>
  <c r="U77" i="1"/>
  <c r="U61" i="1"/>
  <c r="U74" i="1"/>
  <c r="U78" i="1"/>
  <c r="U75" i="1"/>
  <c r="U79" i="1"/>
  <c r="U72" i="1"/>
  <c r="U81" i="1"/>
  <c r="U85" i="1"/>
  <c r="U82" i="1"/>
  <c r="U86" i="1"/>
  <c r="U83" i="1"/>
  <c r="U87" i="1"/>
  <c r="U80" i="1"/>
  <c r="U90" i="1"/>
  <c r="U94" i="1"/>
  <c r="U98" i="1"/>
  <c r="U102" i="1"/>
  <c r="U76" i="1"/>
  <c r="U91" i="1"/>
  <c r="U95" i="1"/>
  <c r="U99" i="1"/>
  <c r="U103" i="1"/>
  <c r="U88" i="1"/>
  <c r="U92" i="1"/>
  <c r="U96" i="1"/>
  <c r="U68" i="1"/>
  <c r="U97" i="1"/>
  <c r="U101" i="1"/>
  <c r="U105" i="1"/>
  <c r="U109" i="1"/>
  <c r="U113" i="1"/>
  <c r="U93" i="1"/>
  <c r="U106" i="1"/>
  <c r="U110" i="1"/>
  <c r="U114" i="1"/>
  <c r="U89" i="1"/>
  <c r="U107" i="1"/>
  <c r="U111" i="1"/>
  <c r="U115" i="1"/>
  <c r="U84" i="1"/>
  <c r="U100" i="1"/>
  <c r="U112" i="1"/>
  <c r="U119" i="1"/>
  <c r="U123" i="1"/>
  <c r="U127" i="1"/>
  <c r="U131" i="1"/>
  <c r="U130" i="1"/>
  <c r="U108" i="1"/>
  <c r="U116" i="1"/>
  <c r="U120" i="1"/>
  <c r="U124" i="1"/>
  <c r="U128" i="1"/>
  <c r="U118" i="1"/>
  <c r="U122" i="1"/>
  <c r="U104" i="1"/>
  <c r="U117" i="1"/>
  <c r="U121" i="1"/>
  <c r="U125" i="1"/>
  <c r="U129" i="1"/>
  <c r="U126" i="1"/>
  <c r="U54" i="1"/>
  <c r="U50" i="1"/>
  <c r="U58" i="1"/>
  <c r="U56" i="1"/>
  <c r="U52" i="1"/>
  <c r="U139" i="1"/>
  <c r="U137" i="1"/>
  <c r="U138" i="1"/>
  <c r="U136" i="1"/>
  <c r="U135" i="1"/>
  <c r="T195" i="1"/>
  <c r="T194" i="1"/>
  <c r="T196" i="1"/>
  <c r="U49" i="1"/>
  <c r="U132" i="1"/>
  <c r="U133" i="1"/>
  <c r="U47" i="1"/>
  <c r="U48" i="1"/>
  <c r="U134" i="1"/>
  <c r="U19" i="1"/>
  <c r="U20" i="1"/>
  <c r="U21" i="1"/>
  <c r="O161" i="1"/>
  <c r="V16" i="1"/>
  <c r="U193" i="1"/>
  <c r="V25" i="1" l="1"/>
  <c r="V31" i="1"/>
  <c r="V26" i="1"/>
  <c r="V28" i="1"/>
  <c r="V32" i="1"/>
  <c r="V23" i="1"/>
  <c r="V27" i="1"/>
  <c r="V29" i="1"/>
  <c r="V24" i="1"/>
  <c r="V30" i="1"/>
  <c r="V33" i="1"/>
  <c r="V37" i="1"/>
  <c r="V34" i="1"/>
  <c r="V40" i="1"/>
  <c r="V35" i="1"/>
  <c r="V36" i="1"/>
  <c r="V38" i="1"/>
  <c r="V42" i="1"/>
  <c r="V41" i="1"/>
  <c r="V46" i="1"/>
  <c r="V43" i="1"/>
  <c r="V39" i="1"/>
  <c r="V44" i="1"/>
  <c r="V45" i="1"/>
  <c r="V57" i="1"/>
  <c r="V51" i="1"/>
  <c r="V59" i="1"/>
  <c r="V60" i="1"/>
  <c r="V53" i="1"/>
  <c r="V55" i="1"/>
  <c r="V62" i="1"/>
  <c r="V65" i="1"/>
  <c r="V69" i="1"/>
  <c r="V61" i="1"/>
  <c r="V66" i="1"/>
  <c r="V70" i="1"/>
  <c r="V63" i="1"/>
  <c r="V67" i="1"/>
  <c r="V71" i="1"/>
  <c r="V68" i="1"/>
  <c r="V73" i="1"/>
  <c r="V77" i="1"/>
  <c r="V64" i="1"/>
  <c r="V74" i="1"/>
  <c r="V78" i="1"/>
  <c r="V75" i="1"/>
  <c r="V79" i="1"/>
  <c r="V76" i="1"/>
  <c r="V81" i="1"/>
  <c r="V85" i="1"/>
  <c r="V72" i="1"/>
  <c r="V82" i="1"/>
  <c r="V86" i="1"/>
  <c r="V83" i="1"/>
  <c r="V87" i="1"/>
  <c r="V84" i="1"/>
  <c r="V90" i="1"/>
  <c r="V94" i="1"/>
  <c r="V98" i="1"/>
  <c r="V102" i="1"/>
  <c r="V80" i="1"/>
  <c r="V91" i="1"/>
  <c r="V95" i="1"/>
  <c r="V99" i="1"/>
  <c r="V103" i="1"/>
  <c r="V88" i="1"/>
  <c r="V92" i="1"/>
  <c r="V96" i="1"/>
  <c r="V105" i="1"/>
  <c r="V109" i="1"/>
  <c r="V113" i="1"/>
  <c r="V97" i="1"/>
  <c r="V100" i="1"/>
  <c r="V106" i="1"/>
  <c r="V110" i="1"/>
  <c r="V114" i="1"/>
  <c r="V93" i="1"/>
  <c r="V101" i="1"/>
  <c r="V107" i="1"/>
  <c r="V111" i="1"/>
  <c r="V115" i="1"/>
  <c r="V119" i="1"/>
  <c r="V123" i="1"/>
  <c r="V127" i="1"/>
  <c r="V131" i="1"/>
  <c r="V104" i="1"/>
  <c r="V122" i="1"/>
  <c r="V112" i="1"/>
  <c r="V116" i="1"/>
  <c r="V120" i="1"/>
  <c r="V124" i="1"/>
  <c r="V128" i="1"/>
  <c r="V126" i="1"/>
  <c r="V108" i="1"/>
  <c r="V117" i="1"/>
  <c r="V121" i="1"/>
  <c r="V125" i="1"/>
  <c r="V129" i="1"/>
  <c r="V89" i="1"/>
  <c r="V118" i="1"/>
  <c r="V130" i="1"/>
  <c r="V58" i="1"/>
  <c r="V56" i="1"/>
  <c r="V54" i="1"/>
  <c r="V52" i="1"/>
  <c r="V50" i="1"/>
  <c r="V137" i="1"/>
  <c r="V138" i="1"/>
  <c r="V139" i="1"/>
  <c r="V136" i="1"/>
  <c r="V135" i="1"/>
  <c r="U194" i="1"/>
  <c r="U196" i="1"/>
  <c r="V132" i="1"/>
  <c r="V133" i="1"/>
  <c r="V47" i="1"/>
  <c r="V134" i="1"/>
  <c r="V48" i="1"/>
  <c r="V19" i="1"/>
  <c r="V20" i="1"/>
  <c r="V49" i="1"/>
  <c r="V21" i="1"/>
  <c r="U195" i="1"/>
  <c r="O160" i="1"/>
  <c r="W16" i="1"/>
  <c r="V193" i="1"/>
  <c r="W24" i="1" l="1"/>
  <c r="W30" i="1"/>
  <c r="W25" i="1"/>
  <c r="W31" i="1"/>
  <c r="W26" i="1"/>
  <c r="W28" i="1"/>
  <c r="W32" i="1"/>
  <c r="W23" i="1"/>
  <c r="W27" i="1"/>
  <c r="W29" i="1"/>
  <c r="W36" i="1"/>
  <c r="W33" i="1"/>
  <c r="W37" i="1"/>
  <c r="W39" i="1"/>
  <c r="W34" i="1"/>
  <c r="W35" i="1"/>
  <c r="W41" i="1"/>
  <c r="W45" i="1"/>
  <c r="W38" i="1"/>
  <c r="W46" i="1"/>
  <c r="W40" i="1"/>
  <c r="W43" i="1"/>
  <c r="W42" i="1"/>
  <c r="W44" i="1"/>
  <c r="W51" i="1"/>
  <c r="W53" i="1"/>
  <c r="W60" i="1"/>
  <c r="W55" i="1"/>
  <c r="W57" i="1"/>
  <c r="W59" i="1"/>
  <c r="W62" i="1"/>
  <c r="W63" i="1"/>
  <c r="W65" i="1"/>
  <c r="W69" i="1"/>
  <c r="W66" i="1"/>
  <c r="W70" i="1"/>
  <c r="W67" i="1"/>
  <c r="W71" i="1"/>
  <c r="W73" i="1"/>
  <c r="W77" i="1"/>
  <c r="W68" i="1"/>
  <c r="W74" i="1"/>
  <c r="W78" i="1"/>
  <c r="W61" i="1"/>
  <c r="W64" i="1"/>
  <c r="W75" i="1"/>
  <c r="W79" i="1"/>
  <c r="W81" i="1"/>
  <c r="W85" i="1"/>
  <c r="W76" i="1"/>
  <c r="W82" i="1"/>
  <c r="W86" i="1"/>
  <c r="W72" i="1"/>
  <c r="W83" i="1"/>
  <c r="W87" i="1"/>
  <c r="W90" i="1"/>
  <c r="W94" i="1"/>
  <c r="W98" i="1"/>
  <c r="W102" i="1"/>
  <c r="W84" i="1"/>
  <c r="W91" i="1"/>
  <c r="W95" i="1"/>
  <c r="W99" i="1"/>
  <c r="W103" i="1"/>
  <c r="W80" i="1"/>
  <c r="W88" i="1"/>
  <c r="W92" i="1"/>
  <c r="W96" i="1"/>
  <c r="W89" i="1"/>
  <c r="W101" i="1"/>
  <c r="W105" i="1"/>
  <c r="W109" i="1"/>
  <c r="W113" i="1"/>
  <c r="W106" i="1"/>
  <c r="W110" i="1"/>
  <c r="W114" i="1"/>
  <c r="W97" i="1"/>
  <c r="W107" i="1"/>
  <c r="W111" i="1"/>
  <c r="W115" i="1"/>
  <c r="W93" i="1"/>
  <c r="W104" i="1"/>
  <c r="W119" i="1"/>
  <c r="W123" i="1"/>
  <c r="W127" i="1"/>
  <c r="W131" i="1"/>
  <c r="W118" i="1"/>
  <c r="W100" i="1"/>
  <c r="W116" i="1"/>
  <c r="W120" i="1"/>
  <c r="W124" i="1"/>
  <c r="W128" i="1"/>
  <c r="W130" i="1"/>
  <c r="W112" i="1"/>
  <c r="W117" i="1"/>
  <c r="W121" i="1"/>
  <c r="W125" i="1"/>
  <c r="W129" i="1"/>
  <c r="W108" i="1"/>
  <c r="W122" i="1"/>
  <c r="W126" i="1"/>
  <c r="W52" i="1"/>
  <c r="W58" i="1"/>
  <c r="W56" i="1"/>
  <c r="W54" i="1"/>
  <c r="W50" i="1"/>
  <c r="W139" i="1"/>
  <c r="W137" i="1"/>
  <c r="W138" i="1"/>
  <c r="W135" i="1"/>
  <c r="W136" i="1"/>
  <c r="V196" i="1"/>
  <c r="V194" i="1"/>
  <c r="W134" i="1"/>
  <c r="W133" i="1"/>
  <c r="W47" i="1"/>
  <c r="W48" i="1"/>
  <c r="W49" i="1"/>
  <c r="W20" i="1"/>
  <c r="W21" i="1"/>
  <c r="W132" i="1"/>
  <c r="W19" i="1"/>
  <c r="V195" i="1"/>
  <c r="O159" i="1"/>
  <c r="X16" i="1"/>
  <c r="W193" i="1"/>
  <c r="X23" i="1" l="1"/>
  <c r="X27" i="1"/>
  <c r="X29" i="1"/>
  <c r="X24" i="1"/>
  <c r="X30" i="1"/>
  <c r="X25" i="1"/>
  <c r="X31" i="1"/>
  <c r="X26" i="1"/>
  <c r="X28" i="1"/>
  <c r="X32" i="1"/>
  <c r="X35" i="1"/>
  <c r="X36" i="1"/>
  <c r="X38" i="1"/>
  <c r="X42" i="1"/>
  <c r="X33" i="1"/>
  <c r="X37" i="1"/>
  <c r="X34" i="1"/>
  <c r="X40" i="1"/>
  <c r="X39" i="1"/>
  <c r="X41" i="1"/>
  <c r="X46" i="1"/>
  <c r="X43" i="1"/>
  <c r="X44" i="1"/>
  <c r="X45" i="1"/>
  <c r="X53" i="1"/>
  <c r="X57" i="1"/>
  <c r="X55" i="1"/>
  <c r="X59" i="1"/>
  <c r="X60" i="1"/>
  <c r="X51" i="1"/>
  <c r="X62" i="1"/>
  <c r="X65" i="1"/>
  <c r="X69" i="1"/>
  <c r="X61" i="1"/>
  <c r="X66" i="1"/>
  <c r="X70" i="1"/>
  <c r="X63" i="1"/>
  <c r="X67" i="1"/>
  <c r="X71" i="1"/>
  <c r="X73" i="1"/>
  <c r="X77" i="1"/>
  <c r="X74" i="1"/>
  <c r="X78" i="1"/>
  <c r="X68" i="1"/>
  <c r="X75" i="1"/>
  <c r="X79" i="1"/>
  <c r="X81" i="1"/>
  <c r="X85" i="1"/>
  <c r="X82" i="1"/>
  <c r="X86" i="1"/>
  <c r="X76" i="1"/>
  <c r="X83" i="1"/>
  <c r="X87" i="1"/>
  <c r="X90" i="1"/>
  <c r="X94" i="1"/>
  <c r="X98" i="1"/>
  <c r="X102" i="1"/>
  <c r="X64" i="1"/>
  <c r="X72" i="1"/>
  <c r="X91" i="1"/>
  <c r="X95" i="1"/>
  <c r="X99" i="1"/>
  <c r="X103" i="1"/>
  <c r="X84" i="1"/>
  <c r="X88" i="1"/>
  <c r="X92" i="1"/>
  <c r="X96" i="1"/>
  <c r="X93" i="1"/>
  <c r="X105" i="1"/>
  <c r="X109" i="1"/>
  <c r="X113" i="1"/>
  <c r="X89" i="1"/>
  <c r="X100" i="1"/>
  <c r="X106" i="1"/>
  <c r="X110" i="1"/>
  <c r="X114" i="1"/>
  <c r="X101" i="1"/>
  <c r="X107" i="1"/>
  <c r="X111" i="1"/>
  <c r="X115" i="1"/>
  <c r="X108" i="1"/>
  <c r="X119" i="1"/>
  <c r="X123" i="1"/>
  <c r="X127" i="1"/>
  <c r="X131" i="1"/>
  <c r="X126" i="1"/>
  <c r="X130" i="1"/>
  <c r="X97" i="1"/>
  <c r="X104" i="1"/>
  <c r="X116" i="1"/>
  <c r="X120" i="1"/>
  <c r="X124" i="1"/>
  <c r="X128" i="1"/>
  <c r="X112" i="1"/>
  <c r="X118" i="1"/>
  <c r="X122" i="1"/>
  <c r="X80" i="1"/>
  <c r="X117" i="1"/>
  <c r="X121" i="1"/>
  <c r="X125" i="1"/>
  <c r="X129" i="1"/>
  <c r="X54" i="1"/>
  <c r="X50" i="1"/>
  <c r="X52" i="1"/>
  <c r="X58" i="1"/>
  <c r="X56" i="1"/>
  <c r="X137" i="1"/>
  <c r="X138" i="1"/>
  <c r="X139" i="1"/>
  <c r="X135" i="1"/>
  <c r="X136" i="1"/>
  <c r="W195" i="1"/>
  <c r="X48" i="1"/>
  <c r="X134" i="1"/>
  <c r="X49" i="1"/>
  <c r="X132" i="1"/>
  <c r="X47" i="1"/>
  <c r="X21" i="1"/>
  <c r="X133" i="1"/>
  <c r="X19" i="1"/>
  <c r="X20" i="1"/>
  <c r="W194" i="1"/>
  <c r="W196" i="1"/>
  <c r="O158" i="1"/>
  <c r="Y16" i="1"/>
  <c r="X193" i="1"/>
  <c r="Y26" i="1" l="1"/>
  <c r="Y28" i="1"/>
  <c r="Y32" i="1"/>
  <c r="Y23" i="1"/>
  <c r="Y27" i="1"/>
  <c r="Y29" i="1"/>
  <c r="Y24" i="1"/>
  <c r="Y30" i="1"/>
  <c r="Y25" i="1"/>
  <c r="Y31" i="1"/>
  <c r="Y34" i="1"/>
  <c r="Y35" i="1"/>
  <c r="Y41" i="1"/>
  <c r="Y36" i="1"/>
  <c r="Y33" i="1"/>
  <c r="Y37" i="1"/>
  <c r="Y39" i="1"/>
  <c r="Y42" i="1"/>
  <c r="Y45" i="1"/>
  <c r="Y46" i="1"/>
  <c r="Y38" i="1"/>
  <c r="Y43" i="1"/>
  <c r="Y40" i="1"/>
  <c r="Y44" i="1"/>
  <c r="Y55" i="1"/>
  <c r="Y60" i="1"/>
  <c r="Y51" i="1"/>
  <c r="Y57" i="1"/>
  <c r="Y53" i="1"/>
  <c r="Y59" i="1"/>
  <c r="Y62" i="1"/>
  <c r="Y63" i="1"/>
  <c r="Y65" i="1"/>
  <c r="Y69" i="1"/>
  <c r="Y66" i="1"/>
  <c r="Y70" i="1"/>
  <c r="Y67" i="1"/>
  <c r="Y71" i="1"/>
  <c r="Y64" i="1"/>
  <c r="Y73" i="1"/>
  <c r="Y77" i="1"/>
  <c r="Y74" i="1"/>
  <c r="Y78" i="1"/>
  <c r="Y75" i="1"/>
  <c r="Y79" i="1"/>
  <c r="Y68" i="1"/>
  <c r="Y72" i="1"/>
  <c r="Y81" i="1"/>
  <c r="Y85" i="1"/>
  <c r="Y61" i="1"/>
  <c r="Y82" i="1"/>
  <c r="Y86" i="1"/>
  <c r="Y83" i="1"/>
  <c r="Y87" i="1"/>
  <c r="Y80" i="1"/>
  <c r="Y90" i="1"/>
  <c r="Y94" i="1"/>
  <c r="Y98" i="1"/>
  <c r="Y102" i="1"/>
  <c r="Y91" i="1"/>
  <c r="Y95" i="1"/>
  <c r="Y99" i="1"/>
  <c r="Y103" i="1"/>
  <c r="Y76" i="1"/>
  <c r="Y88" i="1"/>
  <c r="Y92" i="1"/>
  <c r="Y96" i="1"/>
  <c r="Y84" i="1"/>
  <c r="Y97" i="1"/>
  <c r="Y101" i="1"/>
  <c r="Y105" i="1"/>
  <c r="Y109" i="1"/>
  <c r="Y113" i="1"/>
  <c r="Y93" i="1"/>
  <c r="Y106" i="1"/>
  <c r="Y110" i="1"/>
  <c r="Y114" i="1"/>
  <c r="Y89" i="1"/>
  <c r="Y107" i="1"/>
  <c r="Y111" i="1"/>
  <c r="Y115" i="1"/>
  <c r="Y112" i="1"/>
  <c r="Y119" i="1"/>
  <c r="Y123" i="1"/>
  <c r="Y127" i="1"/>
  <c r="Y131" i="1"/>
  <c r="Y108" i="1"/>
  <c r="Y116" i="1"/>
  <c r="Y120" i="1"/>
  <c r="Y124" i="1"/>
  <c r="Y128" i="1"/>
  <c r="Y126" i="1"/>
  <c r="Y100" i="1"/>
  <c r="Y104" i="1"/>
  <c r="Y117" i="1"/>
  <c r="Y121" i="1"/>
  <c r="Y125" i="1"/>
  <c r="Y129" i="1"/>
  <c r="Y118" i="1"/>
  <c r="Y122" i="1"/>
  <c r="Y130" i="1"/>
  <c r="Y56" i="1"/>
  <c r="Y52" i="1"/>
  <c r="Y54" i="1"/>
  <c r="Y50" i="1"/>
  <c r="Y58" i="1"/>
  <c r="Y139" i="1"/>
  <c r="Y137" i="1"/>
  <c r="Y138" i="1"/>
  <c r="Y135" i="1"/>
  <c r="Y136" i="1"/>
  <c r="H17" i="1"/>
  <c r="X196" i="1"/>
  <c r="X194" i="1"/>
  <c r="Y134" i="1"/>
  <c r="Y49" i="1"/>
  <c r="Y132" i="1"/>
  <c r="Y133" i="1"/>
  <c r="Y47" i="1"/>
  <c r="Y19" i="1"/>
  <c r="Y20" i="1"/>
  <c r="Y48" i="1"/>
  <c r="Y21" i="1"/>
  <c r="X195" i="1"/>
  <c r="O157" i="1"/>
  <c r="Z16" i="1"/>
  <c r="Y193" i="1"/>
  <c r="Z25" i="1" l="1"/>
  <c r="Z31" i="1"/>
  <c r="Z26" i="1"/>
  <c r="Z28" i="1"/>
  <c r="Z32" i="1"/>
  <c r="Z23" i="1"/>
  <c r="Z27" i="1"/>
  <c r="Z29" i="1"/>
  <c r="Z24" i="1"/>
  <c r="Z30" i="1"/>
  <c r="Z33" i="1"/>
  <c r="Z37" i="1"/>
  <c r="Z34" i="1"/>
  <c r="Z40" i="1"/>
  <c r="Z35" i="1"/>
  <c r="Z36" i="1"/>
  <c r="Z38" i="1"/>
  <c r="Z42" i="1"/>
  <c r="Z39" i="1"/>
  <c r="Z46" i="1"/>
  <c r="Z41" i="1"/>
  <c r="Z43" i="1"/>
  <c r="Z44" i="1"/>
  <c r="Z45" i="1"/>
  <c r="Z57" i="1"/>
  <c r="Z51" i="1"/>
  <c r="Z59" i="1"/>
  <c r="Z60" i="1"/>
  <c r="Z53" i="1"/>
  <c r="Z55" i="1"/>
  <c r="Z62" i="1"/>
  <c r="Z65" i="1"/>
  <c r="Z69" i="1"/>
  <c r="Z61" i="1"/>
  <c r="Z66" i="1"/>
  <c r="Z70" i="1"/>
  <c r="Z63" i="1"/>
  <c r="Z67" i="1"/>
  <c r="Z71" i="1"/>
  <c r="Z68" i="1"/>
  <c r="Z73" i="1"/>
  <c r="Z77" i="1"/>
  <c r="Z64" i="1"/>
  <c r="Z74" i="1"/>
  <c r="Z78" i="1"/>
  <c r="Z75" i="1"/>
  <c r="Z79" i="1"/>
  <c r="Z76" i="1"/>
  <c r="Z81" i="1"/>
  <c r="Z85" i="1"/>
  <c r="Z72" i="1"/>
  <c r="Z82" i="1"/>
  <c r="Z83" i="1"/>
  <c r="Z87" i="1"/>
  <c r="Z84" i="1"/>
  <c r="Z90" i="1"/>
  <c r="Z94" i="1"/>
  <c r="Z98" i="1"/>
  <c r="Z102" i="1"/>
  <c r="Z80" i="1"/>
  <c r="Z86" i="1"/>
  <c r="Z91" i="1"/>
  <c r="Z95" i="1"/>
  <c r="Z99" i="1"/>
  <c r="Z103" i="1"/>
  <c r="Z88" i="1"/>
  <c r="Z92" i="1"/>
  <c r="Z96" i="1"/>
  <c r="Z105" i="1"/>
  <c r="Z109" i="1"/>
  <c r="Z113" i="1"/>
  <c r="Z97" i="1"/>
  <c r="Z100" i="1"/>
  <c r="Z106" i="1"/>
  <c r="Z110" i="1"/>
  <c r="Z114" i="1"/>
  <c r="Z93" i="1"/>
  <c r="Z101" i="1"/>
  <c r="Z107" i="1"/>
  <c r="Z111" i="1"/>
  <c r="Z115" i="1"/>
  <c r="Z89" i="1"/>
  <c r="Z119" i="1"/>
  <c r="Z123" i="1"/>
  <c r="Z127" i="1"/>
  <c r="Z131" i="1"/>
  <c r="Z118" i="1"/>
  <c r="Z122" i="1"/>
  <c r="Z126" i="1"/>
  <c r="Z112" i="1"/>
  <c r="Z116" i="1"/>
  <c r="Z120" i="1"/>
  <c r="Z124" i="1"/>
  <c r="Z128" i="1"/>
  <c r="Z130" i="1"/>
  <c r="Z108" i="1"/>
  <c r="Z117" i="1"/>
  <c r="Z121" i="1"/>
  <c r="Z125" i="1"/>
  <c r="Z129" i="1"/>
  <c r="Z104" i="1"/>
  <c r="Z58" i="1"/>
  <c r="Z56" i="1"/>
  <c r="Z52" i="1"/>
  <c r="Z54" i="1"/>
  <c r="Z50" i="1"/>
  <c r="Z137" i="1"/>
  <c r="Z138" i="1"/>
  <c r="Z139" i="1"/>
  <c r="Z136" i="1"/>
  <c r="Z135" i="1"/>
  <c r="J17" i="1"/>
  <c r="Y195" i="1"/>
  <c r="Y194" i="1"/>
  <c r="Y196" i="1"/>
  <c r="Z132" i="1"/>
  <c r="Z133" i="1"/>
  <c r="Z47" i="1"/>
  <c r="Z48" i="1"/>
  <c r="Z134" i="1"/>
  <c r="Z19" i="1"/>
  <c r="Z20" i="1"/>
  <c r="Z49" i="1"/>
  <c r="Z21" i="1"/>
  <c r="O156" i="1"/>
  <c r="AA16" i="1"/>
  <c r="Z193" i="1"/>
  <c r="AA24" i="1" l="1"/>
  <c r="AA30" i="1"/>
  <c r="AA25" i="1"/>
  <c r="AA31" i="1"/>
  <c r="AA26" i="1"/>
  <c r="AA28" i="1"/>
  <c r="AA32" i="1"/>
  <c r="AA23" i="1"/>
  <c r="AA27" i="1"/>
  <c r="AA29" i="1"/>
  <c r="AA33" i="1"/>
  <c r="AA37" i="1"/>
  <c r="AA39" i="1"/>
  <c r="AA35" i="1"/>
  <c r="AA41" i="1"/>
  <c r="AA34" i="1"/>
  <c r="AA45" i="1"/>
  <c r="AA36" i="1"/>
  <c r="AA42" i="1"/>
  <c r="AA46" i="1"/>
  <c r="AA43" i="1"/>
  <c r="AA38" i="1"/>
  <c r="AA44" i="1"/>
  <c r="AA40" i="1"/>
  <c r="AA51" i="1"/>
  <c r="AA59" i="1"/>
  <c r="AA53" i="1"/>
  <c r="AA60" i="1"/>
  <c r="AA55" i="1"/>
  <c r="AA57" i="1"/>
  <c r="AA58" i="1"/>
  <c r="AA62" i="1"/>
  <c r="AA63" i="1"/>
  <c r="AA65" i="1"/>
  <c r="AA69" i="1"/>
  <c r="AA66" i="1"/>
  <c r="AA70" i="1"/>
  <c r="AA67" i="1"/>
  <c r="AA71" i="1"/>
  <c r="AA61" i="1"/>
  <c r="AA73" i="1"/>
  <c r="AA77" i="1"/>
  <c r="AA68" i="1"/>
  <c r="AA74" i="1"/>
  <c r="AA64" i="1"/>
  <c r="AA75" i="1"/>
  <c r="AA79" i="1"/>
  <c r="AA81" i="1"/>
  <c r="AA85" i="1"/>
  <c r="AA76" i="1"/>
  <c r="AA82" i="1"/>
  <c r="AA72" i="1"/>
  <c r="AA78" i="1"/>
  <c r="AA83" i="1"/>
  <c r="AA87" i="1"/>
  <c r="AA90" i="1"/>
  <c r="AA94" i="1"/>
  <c r="AA98" i="1"/>
  <c r="AA102" i="1"/>
  <c r="AA91" i="1"/>
  <c r="AA95" i="1"/>
  <c r="AA99" i="1"/>
  <c r="AA103" i="1"/>
  <c r="AA80" i="1"/>
  <c r="AA84" i="1"/>
  <c r="AA88" i="1"/>
  <c r="AA92" i="1"/>
  <c r="AA96" i="1"/>
  <c r="AA89" i="1"/>
  <c r="AA101" i="1"/>
  <c r="AA105" i="1"/>
  <c r="AA109" i="1"/>
  <c r="AA113" i="1"/>
  <c r="AA86" i="1"/>
  <c r="AA106" i="1"/>
  <c r="AA110" i="1"/>
  <c r="AA114" i="1"/>
  <c r="AA97" i="1"/>
  <c r="AA107" i="1"/>
  <c r="AA111" i="1"/>
  <c r="AA115" i="1"/>
  <c r="AA104" i="1"/>
  <c r="AA119" i="1"/>
  <c r="AA123" i="1"/>
  <c r="AA127" i="1"/>
  <c r="AA131" i="1"/>
  <c r="AA93" i="1"/>
  <c r="AA116" i="1"/>
  <c r="AA120" i="1"/>
  <c r="AA124" i="1"/>
  <c r="AA128" i="1"/>
  <c r="AA108" i="1"/>
  <c r="AA118" i="1"/>
  <c r="AA122" i="1"/>
  <c r="AA112" i="1"/>
  <c r="AA117" i="1"/>
  <c r="AA121" i="1"/>
  <c r="AA125" i="1"/>
  <c r="AA129" i="1"/>
  <c r="AA100" i="1"/>
  <c r="AA126" i="1"/>
  <c r="AA130" i="1"/>
  <c r="AA56" i="1"/>
  <c r="AA50" i="1"/>
  <c r="AA52" i="1"/>
  <c r="AA54" i="1"/>
  <c r="AA139" i="1"/>
  <c r="AA137" i="1"/>
  <c r="AA138" i="1"/>
  <c r="AA135" i="1"/>
  <c r="AA136" i="1"/>
  <c r="Z194" i="1"/>
  <c r="Z196" i="1"/>
  <c r="AA134" i="1"/>
  <c r="AA133" i="1"/>
  <c r="AA47" i="1"/>
  <c r="AA48" i="1"/>
  <c r="AA49" i="1"/>
  <c r="AA20" i="1"/>
  <c r="AA132" i="1"/>
  <c r="AA21" i="1"/>
  <c r="AA19" i="1"/>
  <c r="Z195" i="1"/>
  <c r="W168" i="1"/>
  <c r="X158" i="1"/>
  <c r="R158" i="1"/>
  <c r="U167" i="1"/>
  <c r="O155" i="1"/>
  <c r="AB16" i="1"/>
  <c r="AA193" i="1"/>
  <c r="AB23" i="1" l="1"/>
  <c r="AB27" i="1"/>
  <c r="AB24" i="1"/>
  <c r="AB30" i="1"/>
  <c r="AB25" i="1"/>
  <c r="AB26" i="1"/>
  <c r="AB28" i="1"/>
  <c r="AB32" i="1"/>
  <c r="AB29" i="1"/>
  <c r="AB31" i="1"/>
  <c r="AB36" i="1"/>
  <c r="AB38" i="1"/>
  <c r="AB42" i="1"/>
  <c r="AB34" i="1"/>
  <c r="AB40" i="1"/>
  <c r="AB37" i="1"/>
  <c r="AB46" i="1"/>
  <c r="AB33" i="1"/>
  <c r="AB39" i="1"/>
  <c r="AB43" i="1"/>
  <c r="AB35" i="1"/>
  <c r="AB41" i="1"/>
  <c r="AB44" i="1"/>
  <c r="AB45" i="1"/>
  <c r="AB53" i="1"/>
  <c r="AB59" i="1"/>
  <c r="AB55" i="1"/>
  <c r="AB56" i="1"/>
  <c r="AB60" i="1"/>
  <c r="AB57" i="1"/>
  <c r="AB51" i="1"/>
  <c r="AB58" i="1"/>
  <c r="AB62" i="1"/>
  <c r="AB65" i="1"/>
  <c r="AB69" i="1"/>
  <c r="AB61" i="1"/>
  <c r="AB66" i="1"/>
  <c r="AB70" i="1"/>
  <c r="AB63" i="1"/>
  <c r="AB67" i="1"/>
  <c r="AB71" i="1"/>
  <c r="AB73" i="1"/>
  <c r="AB77" i="1"/>
  <c r="AB74" i="1"/>
  <c r="AB68" i="1"/>
  <c r="AB75" i="1"/>
  <c r="AB79" i="1"/>
  <c r="AB64" i="1"/>
  <c r="AB78" i="1"/>
  <c r="AB81" i="1"/>
  <c r="AB85" i="1"/>
  <c r="AB82" i="1"/>
  <c r="AB83" i="1"/>
  <c r="AB87" i="1"/>
  <c r="AB84" i="1"/>
  <c r="AB90" i="1"/>
  <c r="AB94" i="1"/>
  <c r="AB98" i="1"/>
  <c r="AB102" i="1"/>
  <c r="AB86" i="1"/>
  <c r="AB91" i="1"/>
  <c r="AB95" i="1"/>
  <c r="AB99" i="1"/>
  <c r="AB103" i="1"/>
  <c r="AB72" i="1"/>
  <c r="AB88" i="1"/>
  <c r="AB92" i="1"/>
  <c r="AB76" i="1"/>
  <c r="AB80" i="1"/>
  <c r="AB93" i="1"/>
  <c r="AB97" i="1"/>
  <c r="AB105" i="1"/>
  <c r="AB109" i="1"/>
  <c r="AB113" i="1"/>
  <c r="AB89" i="1"/>
  <c r="AB100" i="1"/>
  <c r="AB106" i="1"/>
  <c r="AB110" i="1"/>
  <c r="AB114" i="1"/>
  <c r="AB101" i="1"/>
  <c r="AB107" i="1"/>
  <c r="AB111" i="1"/>
  <c r="AB115" i="1"/>
  <c r="AB108" i="1"/>
  <c r="AB119" i="1"/>
  <c r="AB123" i="1"/>
  <c r="AB127" i="1"/>
  <c r="AB131" i="1"/>
  <c r="AB122" i="1"/>
  <c r="AB130" i="1"/>
  <c r="AB104" i="1"/>
  <c r="AB116" i="1"/>
  <c r="AB120" i="1"/>
  <c r="AB124" i="1"/>
  <c r="AB128" i="1"/>
  <c r="AB126" i="1"/>
  <c r="AB96" i="1"/>
  <c r="AB117" i="1"/>
  <c r="AB121" i="1"/>
  <c r="AB125" i="1"/>
  <c r="AB129" i="1"/>
  <c r="AB112" i="1"/>
  <c r="AB118" i="1"/>
  <c r="AB52" i="1"/>
  <c r="AB54" i="1"/>
  <c r="AB50" i="1"/>
  <c r="AB137" i="1"/>
  <c r="AB138" i="1"/>
  <c r="AB139" i="1"/>
  <c r="AB135" i="1"/>
  <c r="AB136" i="1"/>
  <c r="AA195" i="1"/>
  <c r="AA194" i="1"/>
  <c r="AA162" i="1" s="1"/>
  <c r="AA196" i="1"/>
  <c r="AB48" i="1"/>
  <c r="AB49" i="1"/>
  <c r="AB134" i="1"/>
  <c r="AB132" i="1"/>
  <c r="AB133" i="1"/>
  <c r="AB21" i="1"/>
  <c r="AB47" i="1"/>
  <c r="AB19" i="1"/>
  <c r="AB20" i="1"/>
  <c r="S187" i="1"/>
  <c r="Y161" i="1"/>
  <c r="P168" i="1"/>
  <c r="Y177" i="1"/>
  <c r="Y187" i="1"/>
  <c r="P184" i="1"/>
  <c r="P173" i="1"/>
  <c r="P161" i="1"/>
  <c r="P191" i="1"/>
  <c r="Y174" i="1"/>
  <c r="Y170" i="1"/>
  <c r="Y176" i="1"/>
  <c r="Y190" i="1"/>
  <c r="P169" i="1"/>
  <c r="P158" i="1"/>
  <c r="P178" i="1"/>
  <c r="P181" i="1"/>
  <c r="Y169" i="1"/>
  <c r="Y186" i="1"/>
  <c r="Y189" i="1"/>
  <c r="P164" i="1"/>
  <c r="P166" i="1"/>
  <c r="P180" i="1"/>
  <c r="P190" i="1"/>
  <c r="Y175" i="1"/>
  <c r="Y178" i="1"/>
  <c r="Y184" i="1"/>
  <c r="P163" i="1"/>
  <c r="P170" i="1"/>
  <c r="P183" i="1"/>
  <c r="P188" i="1"/>
  <c r="T172" i="1"/>
  <c r="T191" i="1"/>
  <c r="T181" i="1"/>
  <c r="U179" i="1"/>
  <c r="T177" i="1"/>
  <c r="T189" i="1"/>
  <c r="Q177" i="1"/>
  <c r="T179" i="1"/>
  <c r="U180" i="1"/>
  <c r="U170" i="1"/>
  <c r="U187" i="1"/>
  <c r="U175" i="1"/>
  <c r="Y171" i="1"/>
  <c r="Y179" i="1"/>
  <c r="Y180" i="1"/>
  <c r="Y182" i="1"/>
  <c r="Y185" i="1"/>
  <c r="Y188" i="1"/>
  <c r="P165" i="1"/>
  <c r="P159" i="1"/>
  <c r="P177" i="1"/>
  <c r="P171" i="1"/>
  <c r="P172" i="1"/>
  <c r="P179" i="1"/>
  <c r="P185" i="1"/>
  <c r="P189" i="1"/>
  <c r="Y172" i="1"/>
  <c r="Y173" i="1"/>
  <c r="Y181" i="1"/>
  <c r="Y183" i="1"/>
  <c r="Y191" i="1"/>
  <c r="Y192" i="1"/>
  <c r="P160" i="1"/>
  <c r="P175" i="1"/>
  <c r="P167" i="1"/>
  <c r="P162" i="1"/>
  <c r="P174" i="1"/>
  <c r="P176" i="1"/>
  <c r="P182" i="1"/>
  <c r="P186" i="1"/>
  <c r="P187" i="1"/>
  <c r="V178" i="1"/>
  <c r="X190" i="1"/>
  <c r="T173" i="1"/>
  <c r="T170" i="1"/>
  <c r="T176" i="1"/>
  <c r="T183" i="1"/>
  <c r="T185" i="1"/>
  <c r="T192" i="1"/>
  <c r="Q182" i="1"/>
  <c r="U178" i="1"/>
  <c r="U177" i="1"/>
  <c r="U189" i="1"/>
  <c r="T171" i="1"/>
  <c r="T174" i="1"/>
  <c r="T180" i="1"/>
  <c r="T184" i="1"/>
  <c r="T186" i="1"/>
  <c r="T188" i="1"/>
  <c r="V186" i="1"/>
  <c r="Q170" i="1"/>
  <c r="Q185" i="1"/>
  <c r="T157" i="1"/>
  <c r="U171" i="1"/>
  <c r="U176" i="1"/>
  <c r="T169" i="1"/>
  <c r="T178" i="1"/>
  <c r="T175" i="1"/>
  <c r="T182" i="1"/>
  <c r="T190" i="1"/>
  <c r="T187" i="1"/>
  <c r="Q179" i="1"/>
  <c r="R172" i="1"/>
  <c r="T159" i="1"/>
  <c r="V179" i="1"/>
  <c r="X173" i="1"/>
  <c r="V169" i="1"/>
  <c r="V173" i="1"/>
  <c r="V181" i="1"/>
  <c r="V185" i="1"/>
  <c r="X185" i="1"/>
  <c r="V170" i="1"/>
  <c r="V188" i="1"/>
  <c r="V172" i="1"/>
  <c r="V182" i="1"/>
  <c r="V184" i="1"/>
  <c r="V190" i="1"/>
  <c r="X182" i="1"/>
  <c r="V171" i="1"/>
  <c r="V176" i="1"/>
  <c r="V180" i="1"/>
  <c r="V187" i="1"/>
  <c r="V192" i="1"/>
  <c r="X172" i="1"/>
  <c r="X187" i="1"/>
  <c r="P192" i="1"/>
  <c r="Q174" i="1"/>
  <c r="Q173" i="1"/>
  <c r="Q187" i="1"/>
  <c r="Q178" i="1"/>
  <c r="Q176" i="1"/>
  <c r="Q184" i="1"/>
  <c r="Q164" i="1"/>
  <c r="Q168" i="1"/>
  <c r="Q169" i="1"/>
  <c r="Q181" i="1"/>
  <c r="Q186" i="1"/>
  <c r="Q189" i="1"/>
  <c r="R183" i="1"/>
  <c r="Q165" i="1"/>
  <c r="Q172" i="1"/>
  <c r="Q171" i="1"/>
  <c r="Q175" i="1"/>
  <c r="Q180" i="1"/>
  <c r="Q190" i="1"/>
  <c r="Q188" i="1"/>
  <c r="Q156" i="1"/>
  <c r="Q160" i="1"/>
  <c r="Q183" i="1"/>
  <c r="Q191" i="1"/>
  <c r="Q192" i="1"/>
  <c r="R182" i="1"/>
  <c r="Q157" i="1"/>
  <c r="Q158" i="1"/>
  <c r="Q162" i="1"/>
  <c r="R167" i="1"/>
  <c r="R171" i="1"/>
  <c r="Q161" i="1"/>
  <c r="Q166" i="1"/>
  <c r="R161" i="1"/>
  <c r="R186" i="1"/>
  <c r="Q159" i="1"/>
  <c r="Q163" i="1"/>
  <c r="Q167" i="1"/>
  <c r="T163" i="1"/>
  <c r="T161" i="1"/>
  <c r="X166" i="1"/>
  <c r="T165" i="1"/>
  <c r="T168" i="1"/>
  <c r="T158" i="1"/>
  <c r="T162" i="1"/>
  <c r="T166" i="1"/>
  <c r="Y156" i="1"/>
  <c r="X162" i="1"/>
  <c r="T160" i="1"/>
  <c r="T164" i="1"/>
  <c r="T167" i="1"/>
  <c r="S174" i="1"/>
  <c r="Y164" i="1"/>
  <c r="R175" i="1"/>
  <c r="R170" i="1"/>
  <c r="R181" i="1"/>
  <c r="R187" i="1"/>
  <c r="R189" i="1"/>
  <c r="R165" i="1"/>
  <c r="R173" i="1"/>
  <c r="R174" i="1"/>
  <c r="R179" i="1"/>
  <c r="R191" i="1"/>
  <c r="R192" i="1"/>
  <c r="R159" i="1"/>
  <c r="R168" i="1"/>
  <c r="R169" i="1"/>
  <c r="R176" i="1"/>
  <c r="R177" i="1"/>
  <c r="R184" i="1"/>
  <c r="R185" i="1"/>
  <c r="R157" i="1"/>
  <c r="R162" i="1"/>
  <c r="R178" i="1"/>
  <c r="R180" i="1"/>
  <c r="R188" i="1"/>
  <c r="R190" i="1"/>
  <c r="R160" i="1"/>
  <c r="R164" i="1"/>
  <c r="Y167" i="1"/>
  <c r="Y160" i="1"/>
  <c r="V164" i="1"/>
  <c r="Y158" i="1"/>
  <c r="Y168" i="1"/>
  <c r="V160" i="1"/>
  <c r="Y163" i="1"/>
  <c r="V163" i="1"/>
  <c r="S185" i="1"/>
  <c r="W175" i="1"/>
  <c r="U162" i="1"/>
  <c r="V167" i="1"/>
  <c r="W182" i="1"/>
  <c r="S169" i="1"/>
  <c r="S164" i="1"/>
  <c r="W172" i="1"/>
  <c r="W185" i="1"/>
  <c r="S175" i="1"/>
  <c r="W158" i="1"/>
  <c r="W169" i="1"/>
  <c r="W187" i="1"/>
  <c r="S178" i="1"/>
  <c r="W166" i="1"/>
  <c r="R163" i="1"/>
  <c r="R166" i="1"/>
  <c r="W162" i="1"/>
  <c r="U168" i="1"/>
  <c r="V159" i="1"/>
  <c r="V168" i="1"/>
  <c r="T156" i="1"/>
  <c r="X171" i="1"/>
  <c r="X178" i="1"/>
  <c r="X175" i="1"/>
  <c r="X181" i="1"/>
  <c r="X189" i="1"/>
  <c r="X191" i="1"/>
  <c r="U157" i="1"/>
  <c r="X159" i="1"/>
  <c r="X163" i="1"/>
  <c r="X168" i="1"/>
  <c r="U159" i="1"/>
  <c r="U163" i="1"/>
  <c r="U191" i="1"/>
  <c r="U192" i="1"/>
  <c r="U174" i="1"/>
  <c r="U169" i="1"/>
  <c r="U181" i="1"/>
  <c r="U183" i="1"/>
  <c r="U190" i="1"/>
  <c r="U184" i="1"/>
  <c r="X169" i="1"/>
  <c r="X170" i="1"/>
  <c r="X176" i="1"/>
  <c r="X179" i="1"/>
  <c r="X184" i="1"/>
  <c r="X192" i="1"/>
  <c r="X157" i="1"/>
  <c r="X160" i="1"/>
  <c r="X164" i="1"/>
  <c r="X167" i="1"/>
  <c r="U158" i="1"/>
  <c r="U160" i="1"/>
  <c r="U164" i="1"/>
  <c r="U172" i="1"/>
  <c r="U173" i="1"/>
  <c r="U186" i="1"/>
  <c r="U182" i="1"/>
  <c r="U185" i="1"/>
  <c r="U188" i="1"/>
  <c r="X177" i="1"/>
  <c r="X174" i="1"/>
  <c r="X180" i="1"/>
  <c r="X183" i="1"/>
  <c r="X186" i="1"/>
  <c r="X188" i="1"/>
  <c r="X161" i="1"/>
  <c r="X165" i="1"/>
  <c r="U161" i="1"/>
  <c r="U165" i="1"/>
  <c r="U166" i="1"/>
  <c r="S191" i="1"/>
  <c r="V175" i="1"/>
  <c r="V174" i="1"/>
  <c r="V177" i="1"/>
  <c r="V183" i="1"/>
  <c r="V191" i="1"/>
  <c r="V189" i="1"/>
  <c r="W176" i="1"/>
  <c r="W171" i="1"/>
  <c r="W178" i="1"/>
  <c r="W180" i="1"/>
  <c r="W188" i="1"/>
  <c r="W190" i="1"/>
  <c r="S170" i="1"/>
  <c r="S177" i="1"/>
  <c r="S184" i="1"/>
  <c r="S180" i="1"/>
  <c r="S188" i="1"/>
  <c r="S190" i="1"/>
  <c r="S156" i="1"/>
  <c r="W157" i="1"/>
  <c r="V157" i="1"/>
  <c r="Y159" i="1"/>
  <c r="Y166" i="1"/>
  <c r="W161" i="1"/>
  <c r="W165" i="1"/>
  <c r="S161" i="1"/>
  <c r="V158" i="1"/>
  <c r="V162" i="1"/>
  <c r="V165" i="1"/>
  <c r="W173" i="1"/>
  <c r="W179" i="1"/>
  <c r="W181" i="1"/>
  <c r="W189" i="1"/>
  <c r="W191" i="1"/>
  <c r="S172" i="1"/>
  <c r="S173" i="1"/>
  <c r="S179" i="1"/>
  <c r="S182" i="1"/>
  <c r="S189" i="1"/>
  <c r="W159" i="1"/>
  <c r="W163" i="1"/>
  <c r="W167" i="1"/>
  <c r="W170" i="1"/>
  <c r="W174" i="1"/>
  <c r="W177" i="1"/>
  <c r="W183" i="1"/>
  <c r="W184" i="1"/>
  <c r="W192" i="1"/>
  <c r="W186" i="1"/>
  <c r="S176" i="1"/>
  <c r="S171" i="1"/>
  <c r="S183" i="1"/>
  <c r="S181" i="1"/>
  <c r="S192" i="1"/>
  <c r="S186" i="1"/>
  <c r="Y157" i="1"/>
  <c r="V156" i="1"/>
  <c r="S157" i="1"/>
  <c r="S158" i="1"/>
  <c r="Y162" i="1"/>
  <c r="Y165" i="1"/>
  <c r="W160" i="1"/>
  <c r="W164" i="1"/>
  <c r="V161" i="1"/>
  <c r="V166" i="1"/>
  <c r="S166" i="1"/>
  <c r="S159" i="1"/>
  <c r="S167" i="1"/>
  <c r="S160" i="1"/>
  <c r="S163" i="1"/>
  <c r="S168" i="1"/>
  <c r="S162" i="1"/>
  <c r="S165" i="1"/>
  <c r="Z192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W156" i="1"/>
  <c r="X156" i="1"/>
  <c r="U156" i="1"/>
  <c r="R156" i="1"/>
  <c r="O154" i="1"/>
  <c r="X155" i="1" s="1"/>
  <c r="Z169" i="1"/>
  <c r="Z174" i="1"/>
  <c r="Z181" i="1"/>
  <c r="Z184" i="1"/>
  <c r="Z171" i="1"/>
  <c r="Z172" i="1"/>
  <c r="Z178" i="1"/>
  <c r="Z180" i="1"/>
  <c r="Z188" i="1"/>
  <c r="Z173" i="1"/>
  <c r="Z176" i="1"/>
  <c r="Z182" i="1"/>
  <c r="Z179" i="1"/>
  <c r="Z187" i="1"/>
  <c r="Z175" i="1"/>
  <c r="Z170" i="1"/>
  <c r="Z177" i="1"/>
  <c r="Z183" i="1"/>
  <c r="Z190" i="1"/>
  <c r="Z185" i="1"/>
  <c r="Z191" i="1"/>
  <c r="Z189" i="1"/>
  <c r="Z186" i="1"/>
  <c r="AC16" i="1"/>
  <c r="AB193" i="1"/>
  <c r="AC26" i="1" l="1"/>
  <c r="AC23" i="1"/>
  <c r="AC27" i="1"/>
  <c r="AC29" i="1"/>
  <c r="AC24" i="1"/>
  <c r="AC25" i="1"/>
  <c r="AC31" i="1"/>
  <c r="AC32" i="1"/>
  <c r="AC35" i="1"/>
  <c r="AC41" i="1"/>
  <c r="AC28" i="1"/>
  <c r="AC30" i="1"/>
  <c r="AC33" i="1"/>
  <c r="AC37" i="1"/>
  <c r="AC39" i="1"/>
  <c r="AC38" i="1"/>
  <c r="AC45" i="1"/>
  <c r="AC34" i="1"/>
  <c r="AC40" i="1"/>
  <c r="AC46" i="1"/>
  <c r="AC42" i="1"/>
  <c r="AC43" i="1"/>
  <c r="AC36" i="1"/>
  <c r="AC44" i="1"/>
  <c r="AC55" i="1"/>
  <c r="AC59" i="1"/>
  <c r="AC56" i="1"/>
  <c r="AC60" i="1"/>
  <c r="AC51" i="1"/>
  <c r="AC57" i="1"/>
  <c r="AC53" i="1"/>
  <c r="AC58" i="1"/>
  <c r="AC62" i="1"/>
  <c r="AC63" i="1"/>
  <c r="AC65" i="1"/>
  <c r="AC69" i="1"/>
  <c r="AC66" i="1"/>
  <c r="AC70" i="1"/>
  <c r="AC67" i="1"/>
  <c r="AC71" i="1"/>
  <c r="AC64" i="1"/>
  <c r="AC73" i="1"/>
  <c r="AC77" i="1"/>
  <c r="AC61" i="1"/>
  <c r="AC74" i="1"/>
  <c r="AC75" i="1"/>
  <c r="AC79" i="1"/>
  <c r="AC72" i="1"/>
  <c r="AC81" i="1"/>
  <c r="AC85" i="1"/>
  <c r="AC68" i="1"/>
  <c r="AC76" i="1"/>
  <c r="AC82" i="1"/>
  <c r="AC78" i="1"/>
  <c r="AC83" i="1"/>
  <c r="AC87" i="1"/>
  <c r="AC80" i="1"/>
  <c r="AC90" i="1"/>
  <c r="AC94" i="1"/>
  <c r="AC98" i="1"/>
  <c r="AC102" i="1"/>
  <c r="AC91" i="1"/>
  <c r="AC95" i="1"/>
  <c r="AC99" i="1"/>
  <c r="AC103" i="1"/>
  <c r="AC84" i="1"/>
  <c r="AC88" i="1"/>
  <c r="AC92" i="1"/>
  <c r="AC101" i="1"/>
  <c r="AC105" i="1"/>
  <c r="AC109" i="1"/>
  <c r="AC113" i="1"/>
  <c r="AC93" i="1"/>
  <c r="AC96" i="1"/>
  <c r="AC106" i="1"/>
  <c r="AC110" i="1"/>
  <c r="AC114" i="1"/>
  <c r="AC86" i="1"/>
  <c r="AC89" i="1"/>
  <c r="AC97" i="1"/>
  <c r="AC107" i="1"/>
  <c r="AC111" i="1"/>
  <c r="AC115" i="1"/>
  <c r="AC100" i="1"/>
  <c r="AC112" i="1"/>
  <c r="AC119" i="1"/>
  <c r="AC123" i="1"/>
  <c r="AC127" i="1"/>
  <c r="AC131" i="1"/>
  <c r="AC118" i="1"/>
  <c r="AC126" i="1"/>
  <c r="AC108" i="1"/>
  <c r="AC116" i="1"/>
  <c r="AC120" i="1"/>
  <c r="AC124" i="1"/>
  <c r="AC128" i="1"/>
  <c r="AC130" i="1"/>
  <c r="AC104" i="1"/>
  <c r="AC117" i="1"/>
  <c r="AC121" i="1"/>
  <c r="AC125" i="1"/>
  <c r="AC129" i="1"/>
  <c r="AC122" i="1"/>
  <c r="AC54" i="1"/>
  <c r="AC50" i="1"/>
  <c r="AC52" i="1"/>
  <c r="AC139" i="1"/>
  <c r="AC137" i="1"/>
  <c r="AC138" i="1"/>
  <c r="AC135" i="1"/>
  <c r="AC136" i="1"/>
  <c r="AB196" i="1"/>
  <c r="AC49" i="1"/>
  <c r="AC134" i="1"/>
  <c r="AC132" i="1"/>
  <c r="AC133" i="1"/>
  <c r="AC47" i="1"/>
  <c r="AC19" i="1"/>
  <c r="AC48" i="1"/>
  <c r="AC20" i="1"/>
  <c r="AC21" i="1"/>
  <c r="AB194" i="1"/>
  <c r="AB155" i="1" s="1"/>
  <c r="AB195" i="1"/>
  <c r="R155" i="1"/>
  <c r="U155" i="1"/>
  <c r="W155" i="1"/>
  <c r="AA168" i="1"/>
  <c r="AA167" i="1"/>
  <c r="AA166" i="1"/>
  <c r="AA165" i="1"/>
  <c r="AA164" i="1"/>
  <c r="AA163" i="1"/>
  <c r="AA161" i="1"/>
  <c r="AA160" i="1"/>
  <c r="AA159" i="1"/>
  <c r="AA158" i="1"/>
  <c r="AA156" i="1"/>
  <c r="AA157" i="1"/>
  <c r="V155" i="1"/>
  <c r="Z155" i="1"/>
  <c r="AA155" i="1"/>
  <c r="Y155" i="1"/>
  <c r="S155" i="1"/>
  <c r="T155" i="1"/>
  <c r="Q155" i="1"/>
  <c r="O153" i="1"/>
  <c r="V154" i="1" s="1"/>
  <c r="AD16" i="1"/>
  <c r="AC193" i="1"/>
  <c r="AA190" i="1"/>
  <c r="AA186" i="1"/>
  <c r="AA191" i="1"/>
  <c r="AA187" i="1"/>
  <c r="AA188" i="1"/>
  <c r="AA192" i="1"/>
  <c r="AA189" i="1"/>
  <c r="AA185" i="1"/>
  <c r="AA180" i="1"/>
  <c r="AA181" i="1"/>
  <c r="AA182" i="1"/>
  <c r="AA178" i="1"/>
  <c r="AA184" i="1"/>
  <c r="AA183" i="1"/>
  <c r="AA179" i="1"/>
  <c r="AA175" i="1"/>
  <c r="AA177" i="1"/>
  <c r="AA171" i="1"/>
  <c r="AA173" i="1"/>
  <c r="AA169" i="1"/>
  <c r="AA170" i="1"/>
  <c r="AA172" i="1"/>
  <c r="AA174" i="1"/>
  <c r="AA176" i="1"/>
  <c r="AD25" i="1" l="1"/>
  <c r="AD26" i="1"/>
  <c r="AD28" i="1"/>
  <c r="AD32" i="1"/>
  <c r="AD23" i="1"/>
  <c r="AD27" i="1"/>
  <c r="AD24" i="1"/>
  <c r="AD30" i="1"/>
  <c r="AD29" i="1"/>
  <c r="AD34" i="1"/>
  <c r="AD40" i="1"/>
  <c r="AD31" i="1"/>
  <c r="AD36" i="1"/>
  <c r="AD38" i="1"/>
  <c r="AD42" i="1"/>
  <c r="AD35" i="1"/>
  <c r="AD37" i="1"/>
  <c r="AD46" i="1"/>
  <c r="AD43" i="1"/>
  <c r="AD33" i="1"/>
  <c r="AD39" i="1"/>
  <c r="AD44" i="1"/>
  <c r="AD41" i="1"/>
  <c r="AD45" i="1"/>
  <c r="AD59" i="1"/>
  <c r="AD51" i="1"/>
  <c r="AD56" i="1"/>
  <c r="AD60" i="1"/>
  <c r="AD53" i="1"/>
  <c r="AD57" i="1"/>
  <c r="AD55" i="1"/>
  <c r="AD58" i="1"/>
  <c r="AD62" i="1"/>
  <c r="AD65" i="1"/>
  <c r="AD69" i="1"/>
  <c r="AD61" i="1"/>
  <c r="AD66" i="1"/>
  <c r="AD70" i="1"/>
  <c r="AD63" i="1"/>
  <c r="AD67" i="1"/>
  <c r="AD71" i="1"/>
  <c r="AD68" i="1"/>
  <c r="AD73" i="1"/>
  <c r="AD77" i="1"/>
  <c r="AD64" i="1"/>
  <c r="AD74" i="1"/>
  <c r="AD75" i="1"/>
  <c r="AD79" i="1"/>
  <c r="AD78" i="1"/>
  <c r="AD81" i="1"/>
  <c r="AD85" i="1"/>
  <c r="AD72" i="1"/>
  <c r="AD82" i="1"/>
  <c r="AD83" i="1"/>
  <c r="AD87" i="1"/>
  <c r="AD76" i="1"/>
  <c r="AD84" i="1"/>
  <c r="AD90" i="1"/>
  <c r="AD94" i="1"/>
  <c r="AD98" i="1"/>
  <c r="AD102" i="1"/>
  <c r="AD80" i="1"/>
  <c r="AD86" i="1"/>
  <c r="AD91" i="1"/>
  <c r="AD95" i="1"/>
  <c r="AD99" i="1"/>
  <c r="AD103" i="1"/>
  <c r="AD88" i="1"/>
  <c r="AD92" i="1"/>
  <c r="AD97" i="1"/>
  <c r="AD105" i="1"/>
  <c r="AD109" i="1"/>
  <c r="AD113" i="1"/>
  <c r="AD100" i="1"/>
  <c r="AD106" i="1"/>
  <c r="AD110" i="1"/>
  <c r="AD114" i="1"/>
  <c r="AD93" i="1"/>
  <c r="AD101" i="1"/>
  <c r="AD107" i="1"/>
  <c r="AD111" i="1"/>
  <c r="AD115" i="1"/>
  <c r="AD119" i="1"/>
  <c r="AD123" i="1"/>
  <c r="AD127" i="1"/>
  <c r="AD131" i="1"/>
  <c r="AD104" i="1"/>
  <c r="AD130" i="1"/>
  <c r="AD89" i="1"/>
  <c r="AD112" i="1"/>
  <c r="AD116" i="1"/>
  <c r="AD120" i="1"/>
  <c r="AD124" i="1"/>
  <c r="AD128" i="1"/>
  <c r="AD118" i="1"/>
  <c r="AD122" i="1"/>
  <c r="AD108" i="1"/>
  <c r="AD117" i="1"/>
  <c r="AD121" i="1"/>
  <c r="AD125" i="1"/>
  <c r="AD129" i="1"/>
  <c r="AD96" i="1"/>
  <c r="AD126" i="1"/>
  <c r="AD50" i="1"/>
  <c r="AD52" i="1"/>
  <c r="AD54" i="1"/>
  <c r="AD137" i="1"/>
  <c r="AD138" i="1"/>
  <c r="AD139" i="1"/>
  <c r="AD136" i="1"/>
  <c r="AD135" i="1"/>
  <c r="AD134" i="1"/>
  <c r="AD132" i="1"/>
  <c r="AD133" i="1"/>
  <c r="AD47" i="1"/>
  <c r="AD48" i="1"/>
  <c r="AD19" i="1"/>
  <c r="AD49" i="1"/>
  <c r="AD20" i="1"/>
  <c r="AD21" i="1"/>
  <c r="AC195" i="1"/>
  <c r="AC196" i="1"/>
  <c r="AC194" i="1"/>
  <c r="AC165" i="1" s="1"/>
  <c r="X154" i="1"/>
  <c r="AA154" i="1"/>
  <c r="U154" i="1"/>
  <c r="AB167" i="1"/>
  <c r="AB168" i="1"/>
  <c r="AB165" i="1"/>
  <c r="AB166" i="1"/>
  <c r="AB163" i="1"/>
  <c r="AB164" i="1"/>
  <c r="AB162" i="1"/>
  <c r="AB161" i="1"/>
  <c r="AB160" i="1"/>
  <c r="AB158" i="1"/>
  <c r="AB159" i="1"/>
  <c r="AB157" i="1"/>
  <c r="AB156" i="1"/>
  <c r="R154" i="1"/>
  <c r="S154" i="1"/>
  <c r="T154" i="1"/>
  <c r="Q154" i="1"/>
  <c r="O152" i="1"/>
  <c r="U153" i="1" s="1"/>
  <c r="AB154" i="1"/>
  <c r="Y154" i="1"/>
  <c r="Z154" i="1"/>
  <c r="W154" i="1"/>
  <c r="AE16" i="1"/>
  <c r="AD193" i="1"/>
  <c r="AB191" i="1"/>
  <c r="AB187" i="1"/>
  <c r="AB183" i="1"/>
  <c r="AB188" i="1"/>
  <c r="AB184" i="1"/>
  <c r="AB192" i="1"/>
  <c r="AB189" i="1"/>
  <c r="AB190" i="1"/>
  <c r="AB186" i="1"/>
  <c r="AB181" i="1"/>
  <c r="AB182" i="1"/>
  <c r="AB185" i="1"/>
  <c r="AB179" i="1"/>
  <c r="AB175" i="1"/>
  <c r="AB180" i="1"/>
  <c r="AB176" i="1"/>
  <c r="AB172" i="1"/>
  <c r="AB174" i="1"/>
  <c r="AB170" i="1"/>
  <c r="AB169" i="1"/>
  <c r="AB178" i="1"/>
  <c r="AB177" i="1"/>
  <c r="AB171" i="1"/>
  <c r="AB173" i="1"/>
  <c r="AE24" i="1" l="1"/>
  <c r="AE25" i="1"/>
  <c r="AE31" i="1"/>
  <c r="AE26" i="1"/>
  <c r="AE23" i="1"/>
  <c r="AE27" i="1"/>
  <c r="AE29" i="1"/>
  <c r="AE30" i="1"/>
  <c r="AE32" i="1"/>
  <c r="AE33" i="1"/>
  <c r="AE37" i="1"/>
  <c r="AE39" i="1"/>
  <c r="AE28" i="1"/>
  <c r="AE35" i="1"/>
  <c r="AE41" i="1"/>
  <c r="AE45" i="1"/>
  <c r="AE38" i="1"/>
  <c r="AE46" i="1"/>
  <c r="AE43" i="1"/>
  <c r="AE34" i="1"/>
  <c r="AE40" i="1"/>
  <c r="AE36" i="1"/>
  <c r="AE42" i="1"/>
  <c r="AE44" i="1"/>
  <c r="AE51" i="1"/>
  <c r="AE59" i="1"/>
  <c r="AE53" i="1"/>
  <c r="AE56" i="1"/>
  <c r="AE60" i="1"/>
  <c r="AE55" i="1"/>
  <c r="AE57" i="1"/>
  <c r="AE58" i="1"/>
  <c r="AE62" i="1"/>
  <c r="AE63" i="1"/>
  <c r="AE65" i="1"/>
  <c r="AE69" i="1"/>
  <c r="AE66" i="1"/>
  <c r="AE70" i="1"/>
  <c r="AE67" i="1"/>
  <c r="AE71" i="1"/>
  <c r="AE73" i="1"/>
  <c r="AE77" i="1"/>
  <c r="AE68" i="1"/>
  <c r="AE74" i="1"/>
  <c r="AE61" i="1"/>
  <c r="AE64" i="1"/>
  <c r="AE75" i="1"/>
  <c r="AE79" i="1"/>
  <c r="AE81" i="1"/>
  <c r="AE85" i="1"/>
  <c r="AE76" i="1"/>
  <c r="AE82" i="1"/>
  <c r="AE72" i="1"/>
  <c r="AE78" i="1"/>
  <c r="AE83" i="1"/>
  <c r="AE87" i="1"/>
  <c r="AE90" i="1"/>
  <c r="AE94" i="1"/>
  <c r="AE98" i="1"/>
  <c r="AE102" i="1"/>
  <c r="AE91" i="1"/>
  <c r="AE95" i="1"/>
  <c r="AE99" i="1"/>
  <c r="AE103" i="1"/>
  <c r="AE80" i="1"/>
  <c r="AE84" i="1"/>
  <c r="AE88" i="1"/>
  <c r="AE92" i="1"/>
  <c r="AE89" i="1"/>
  <c r="AE101" i="1"/>
  <c r="AE105" i="1"/>
  <c r="AE109" i="1"/>
  <c r="AE113" i="1"/>
  <c r="AE96" i="1"/>
  <c r="AE106" i="1"/>
  <c r="AE110" i="1"/>
  <c r="AE114" i="1"/>
  <c r="AE97" i="1"/>
  <c r="AE107" i="1"/>
  <c r="AE111" i="1"/>
  <c r="AE115" i="1"/>
  <c r="AE104" i="1"/>
  <c r="AE119" i="1"/>
  <c r="AE123" i="1"/>
  <c r="AE127" i="1"/>
  <c r="AE131" i="1"/>
  <c r="AE122" i="1"/>
  <c r="AE86" i="1"/>
  <c r="AE100" i="1"/>
  <c r="AE116" i="1"/>
  <c r="AE120" i="1"/>
  <c r="AE124" i="1"/>
  <c r="AE128" i="1"/>
  <c r="AE126" i="1"/>
  <c r="AE93" i="1"/>
  <c r="AE112" i="1"/>
  <c r="AE117" i="1"/>
  <c r="AE121" i="1"/>
  <c r="AE125" i="1"/>
  <c r="AE129" i="1"/>
  <c r="AE108" i="1"/>
  <c r="AE118" i="1"/>
  <c r="AE130" i="1"/>
  <c r="AE52" i="1"/>
  <c r="AE54" i="1"/>
  <c r="AE50" i="1"/>
  <c r="AE139" i="1"/>
  <c r="AE137" i="1"/>
  <c r="AE138" i="1"/>
  <c r="AE135" i="1"/>
  <c r="AE136" i="1"/>
  <c r="AD196" i="1"/>
  <c r="AD194" i="1"/>
  <c r="AD182" i="1" s="1"/>
  <c r="AE134" i="1"/>
  <c r="AE133" i="1"/>
  <c r="AE47" i="1"/>
  <c r="AE48" i="1"/>
  <c r="AE49" i="1"/>
  <c r="AE132" i="1"/>
  <c r="AE20" i="1"/>
  <c r="AE21" i="1"/>
  <c r="AE19" i="1"/>
  <c r="AD195" i="1"/>
  <c r="R153" i="1"/>
  <c r="W153" i="1"/>
  <c r="Z153" i="1"/>
  <c r="AC154" i="1"/>
  <c r="AC167" i="1"/>
  <c r="AC168" i="1"/>
  <c r="AC166" i="1"/>
  <c r="AC164" i="1"/>
  <c r="AC163" i="1"/>
  <c r="AC162" i="1"/>
  <c r="AC161" i="1"/>
  <c r="AC160" i="1"/>
  <c r="AC159" i="1"/>
  <c r="AC158" i="1"/>
  <c r="AC157" i="1"/>
  <c r="AC156" i="1"/>
  <c r="AC155" i="1"/>
  <c r="X153" i="1"/>
  <c r="AB153" i="1"/>
  <c r="V153" i="1"/>
  <c r="S153" i="1"/>
  <c r="Q153" i="1"/>
  <c r="T153" i="1"/>
  <c r="AA153" i="1"/>
  <c r="Y153" i="1"/>
  <c r="AC153" i="1"/>
  <c r="O151" i="1"/>
  <c r="Y152" i="1" s="1"/>
  <c r="AF16" i="1"/>
  <c r="AE193" i="1"/>
  <c r="AC188" i="1"/>
  <c r="AC184" i="1"/>
  <c r="AC192" i="1"/>
  <c r="AC189" i="1"/>
  <c r="AC185" i="1"/>
  <c r="AC190" i="1"/>
  <c r="AC191" i="1"/>
  <c r="AC187" i="1"/>
  <c r="AC182" i="1"/>
  <c r="AC178" i="1"/>
  <c r="AC186" i="1"/>
  <c r="AC183" i="1"/>
  <c r="AC180" i="1"/>
  <c r="AC176" i="1"/>
  <c r="AC181" i="1"/>
  <c r="AC177" i="1"/>
  <c r="AC173" i="1"/>
  <c r="AC169" i="1"/>
  <c r="AC179" i="1"/>
  <c r="AC175" i="1"/>
  <c r="AC171" i="1"/>
  <c r="AC172" i="1"/>
  <c r="AC174" i="1"/>
  <c r="AC170" i="1"/>
  <c r="AF23" i="1" l="1"/>
  <c r="AF27" i="1"/>
  <c r="AF24" i="1"/>
  <c r="AF30" i="1"/>
  <c r="AF25" i="1"/>
  <c r="AF26" i="1"/>
  <c r="AF28" i="1"/>
  <c r="AF32" i="1"/>
  <c r="AF36" i="1"/>
  <c r="AF38" i="1"/>
  <c r="AF42" i="1"/>
  <c r="AF29" i="1"/>
  <c r="AF31" i="1"/>
  <c r="AF34" i="1"/>
  <c r="AF40" i="1"/>
  <c r="AF33" i="1"/>
  <c r="AF39" i="1"/>
  <c r="AF35" i="1"/>
  <c r="AF41" i="1"/>
  <c r="AF46" i="1"/>
  <c r="AF37" i="1"/>
  <c r="AF43" i="1"/>
  <c r="AF44" i="1"/>
  <c r="AF45" i="1"/>
  <c r="AF53" i="1"/>
  <c r="AF59" i="1"/>
  <c r="AF55" i="1"/>
  <c r="AF56" i="1"/>
  <c r="AF60" i="1"/>
  <c r="AF57" i="1"/>
  <c r="AF51" i="1"/>
  <c r="AF58" i="1"/>
  <c r="AF62" i="1"/>
  <c r="AF65" i="1"/>
  <c r="AF69" i="1"/>
  <c r="AF61" i="1"/>
  <c r="AF66" i="1"/>
  <c r="AF70" i="1"/>
  <c r="AF63" i="1"/>
  <c r="AF67" i="1"/>
  <c r="AF71" i="1"/>
  <c r="AF73" i="1"/>
  <c r="AF77" i="1"/>
  <c r="AF74" i="1"/>
  <c r="AF68" i="1"/>
  <c r="AF75" i="1"/>
  <c r="AF79" i="1"/>
  <c r="AF78" i="1"/>
  <c r="AF81" i="1"/>
  <c r="AF85" i="1"/>
  <c r="AF64" i="1"/>
  <c r="AF82" i="1"/>
  <c r="AF83" i="1"/>
  <c r="AF87" i="1"/>
  <c r="AF84" i="1"/>
  <c r="AF90" i="1"/>
  <c r="AF94" i="1"/>
  <c r="AF98" i="1"/>
  <c r="AF102" i="1"/>
  <c r="AF76" i="1"/>
  <c r="AF86" i="1"/>
  <c r="AF91" i="1"/>
  <c r="AF95" i="1"/>
  <c r="AF99" i="1"/>
  <c r="AF103" i="1"/>
  <c r="AF88" i="1"/>
  <c r="AF92" i="1"/>
  <c r="AF93" i="1"/>
  <c r="AF97" i="1"/>
  <c r="AF105" i="1"/>
  <c r="AF109" i="1"/>
  <c r="AF113" i="1"/>
  <c r="AF80" i="1"/>
  <c r="AF89" i="1"/>
  <c r="AF100" i="1"/>
  <c r="AF106" i="1"/>
  <c r="AF110" i="1"/>
  <c r="AF114" i="1"/>
  <c r="AF72" i="1"/>
  <c r="AF101" i="1"/>
  <c r="AF107" i="1"/>
  <c r="AF111" i="1"/>
  <c r="AF115" i="1"/>
  <c r="AF96" i="1"/>
  <c r="AF108" i="1"/>
  <c r="AF119" i="1"/>
  <c r="AF123" i="1"/>
  <c r="AF127" i="1"/>
  <c r="AF131" i="1"/>
  <c r="AF112" i="1"/>
  <c r="AF118" i="1"/>
  <c r="AF104" i="1"/>
  <c r="AF116" i="1"/>
  <c r="AF120" i="1"/>
  <c r="AF124" i="1"/>
  <c r="AF128" i="1"/>
  <c r="AF130" i="1"/>
  <c r="AF117" i="1"/>
  <c r="AF121" i="1"/>
  <c r="AF125" i="1"/>
  <c r="AF129" i="1"/>
  <c r="AF122" i="1"/>
  <c r="AF126" i="1"/>
  <c r="AF54" i="1"/>
  <c r="AF50" i="1"/>
  <c r="AF52" i="1"/>
  <c r="AF137" i="1"/>
  <c r="AF138" i="1"/>
  <c r="AF139" i="1"/>
  <c r="AF135" i="1"/>
  <c r="AF136" i="1"/>
  <c r="AF48" i="1"/>
  <c r="AF49" i="1"/>
  <c r="AF132" i="1"/>
  <c r="AF21" i="1"/>
  <c r="AF134" i="1"/>
  <c r="AF47" i="1"/>
  <c r="AF19" i="1"/>
  <c r="AF133" i="1"/>
  <c r="AF20" i="1"/>
  <c r="AE194" i="1"/>
  <c r="AE168" i="1" s="1"/>
  <c r="AE196" i="1"/>
  <c r="AE195" i="1"/>
  <c r="AD154" i="1"/>
  <c r="AD187" i="1"/>
  <c r="AD169" i="1"/>
  <c r="AD170" i="1"/>
  <c r="AD185" i="1"/>
  <c r="AD175" i="1"/>
  <c r="AD183" i="1"/>
  <c r="AD173" i="1"/>
  <c r="AD176" i="1"/>
  <c r="AD184" i="1"/>
  <c r="AD192" i="1"/>
  <c r="AD172" i="1"/>
  <c r="AD181" i="1"/>
  <c r="AD186" i="1"/>
  <c r="AD178" i="1"/>
  <c r="AD180" i="1"/>
  <c r="AD188" i="1"/>
  <c r="AD190" i="1"/>
  <c r="AD153" i="1"/>
  <c r="AD171" i="1"/>
  <c r="AD174" i="1"/>
  <c r="AD177" i="1"/>
  <c r="AD179" i="1"/>
  <c r="AD191" i="1"/>
  <c r="AD189" i="1"/>
  <c r="AD157" i="1"/>
  <c r="AD161" i="1"/>
  <c r="AD164" i="1"/>
  <c r="AD156" i="1"/>
  <c r="AD158" i="1"/>
  <c r="AD166" i="1"/>
  <c r="AD160" i="1"/>
  <c r="AD165" i="1"/>
  <c r="AD162" i="1"/>
  <c r="AD155" i="1"/>
  <c r="AD159" i="1"/>
  <c r="AD163" i="1"/>
  <c r="AD167" i="1"/>
  <c r="AD168" i="1"/>
  <c r="S152" i="1"/>
  <c r="V152" i="1"/>
  <c r="T152" i="1"/>
  <c r="R152" i="1"/>
  <c r="AB152" i="1"/>
  <c r="Q152" i="1"/>
  <c r="AA152" i="1"/>
  <c r="W152" i="1"/>
  <c r="Z152" i="1"/>
  <c r="AD152" i="1"/>
  <c r="AC152" i="1"/>
  <c r="X152" i="1"/>
  <c r="U152" i="1"/>
  <c r="O150" i="1"/>
  <c r="W151" i="1" s="1"/>
  <c r="AG16" i="1"/>
  <c r="AF193" i="1"/>
  <c r="AG26" i="1" l="1"/>
  <c r="AG23" i="1"/>
  <c r="AG27" i="1"/>
  <c r="AG29" i="1"/>
  <c r="AG24" i="1"/>
  <c r="AG25" i="1"/>
  <c r="AG31" i="1"/>
  <c r="AG28" i="1"/>
  <c r="AG30" i="1"/>
  <c r="AG35" i="1"/>
  <c r="AG41" i="1"/>
  <c r="AG32" i="1"/>
  <c r="AG33" i="1"/>
  <c r="AG37" i="1"/>
  <c r="AG39" i="1"/>
  <c r="AG36" i="1"/>
  <c r="AG45" i="1"/>
  <c r="AG46" i="1"/>
  <c r="AG38" i="1"/>
  <c r="AG43" i="1"/>
  <c r="AG34" i="1"/>
  <c r="AG40" i="1"/>
  <c r="AG44" i="1"/>
  <c r="AG42" i="1"/>
  <c r="AG55" i="1"/>
  <c r="AG59" i="1"/>
  <c r="AG56" i="1"/>
  <c r="AG60" i="1"/>
  <c r="AG51" i="1"/>
  <c r="AG57" i="1"/>
  <c r="AG53" i="1"/>
  <c r="AG58" i="1"/>
  <c r="AG62" i="1"/>
  <c r="AG63" i="1"/>
  <c r="AG65" i="1"/>
  <c r="AG69" i="1"/>
  <c r="AG66" i="1"/>
  <c r="AG70" i="1"/>
  <c r="AG67" i="1"/>
  <c r="AG71" i="1"/>
  <c r="AG64" i="1"/>
  <c r="AG73" i="1"/>
  <c r="AG77" i="1"/>
  <c r="AG74" i="1"/>
  <c r="AG75" i="1"/>
  <c r="AG79" i="1"/>
  <c r="AG72" i="1"/>
  <c r="AG81" i="1"/>
  <c r="AG85" i="1"/>
  <c r="AG76" i="1"/>
  <c r="AG82" i="1"/>
  <c r="AG61" i="1"/>
  <c r="AG68" i="1"/>
  <c r="AG78" i="1"/>
  <c r="AG83" i="1"/>
  <c r="AG87" i="1"/>
  <c r="AG80" i="1"/>
  <c r="AG90" i="1"/>
  <c r="AG94" i="1"/>
  <c r="AG98" i="1"/>
  <c r="AG102" i="1"/>
  <c r="AG91" i="1"/>
  <c r="AG95" i="1"/>
  <c r="AG99" i="1"/>
  <c r="AG103" i="1"/>
  <c r="AG84" i="1"/>
  <c r="AG88" i="1"/>
  <c r="AG92" i="1"/>
  <c r="AG86" i="1"/>
  <c r="AG101" i="1"/>
  <c r="AG105" i="1"/>
  <c r="AG109" i="1"/>
  <c r="AG113" i="1"/>
  <c r="AG93" i="1"/>
  <c r="AG96" i="1"/>
  <c r="AG106" i="1"/>
  <c r="AG110" i="1"/>
  <c r="AG114" i="1"/>
  <c r="AG89" i="1"/>
  <c r="AG97" i="1"/>
  <c r="AG107" i="1"/>
  <c r="AG111" i="1"/>
  <c r="AG115" i="1"/>
  <c r="AG112" i="1"/>
  <c r="AG119" i="1"/>
  <c r="AG123" i="1"/>
  <c r="AG127" i="1"/>
  <c r="AG131" i="1"/>
  <c r="AG126" i="1"/>
  <c r="AG108" i="1"/>
  <c r="AG116" i="1"/>
  <c r="AG120" i="1"/>
  <c r="AG124" i="1"/>
  <c r="AG128" i="1"/>
  <c r="AG118" i="1"/>
  <c r="AG122" i="1"/>
  <c r="AG100" i="1"/>
  <c r="AG104" i="1"/>
  <c r="AG117" i="1"/>
  <c r="AG121" i="1"/>
  <c r="AG125" i="1"/>
  <c r="AG129" i="1"/>
  <c r="AG130" i="1"/>
  <c r="AG52" i="1"/>
  <c r="AG54" i="1"/>
  <c r="AG50" i="1"/>
  <c r="AG139" i="1"/>
  <c r="AG137" i="1"/>
  <c r="AG138" i="1"/>
  <c r="AG135" i="1"/>
  <c r="AG136" i="1"/>
  <c r="AF195" i="1"/>
  <c r="AG49" i="1"/>
  <c r="AG132" i="1"/>
  <c r="AG134" i="1"/>
  <c r="AG133" i="1"/>
  <c r="AG47" i="1"/>
  <c r="AG48" i="1"/>
  <c r="AG19" i="1"/>
  <c r="AG20" i="1"/>
  <c r="AG21" i="1"/>
  <c r="AF196" i="1"/>
  <c r="AF194" i="1"/>
  <c r="AE169" i="1"/>
  <c r="AE175" i="1"/>
  <c r="AE184" i="1"/>
  <c r="AE185" i="1"/>
  <c r="AE187" i="1"/>
  <c r="AE152" i="1"/>
  <c r="AE153" i="1"/>
  <c r="AE158" i="1"/>
  <c r="AE166" i="1"/>
  <c r="AE176" i="1"/>
  <c r="AE178" i="1"/>
  <c r="AE192" i="1"/>
  <c r="AE156" i="1"/>
  <c r="AE172" i="1"/>
  <c r="AE170" i="1"/>
  <c r="AE173" i="1"/>
  <c r="AE179" i="1"/>
  <c r="AE181" i="1"/>
  <c r="AE189" i="1"/>
  <c r="AE191" i="1"/>
  <c r="AE155" i="1"/>
  <c r="AE159" i="1"/>
  <c r="AE167" i="1"/>
  <c r="AE177" i="1"/>
  <c r="AE180" i="1"/>
  <c r="AE186" i="1"/>
  <c r="AE162" i="1"/>
  <c r="AE174" i="1"/>
  <c r="AE171" i="1"/>
  <c r="AE182" i="1"/>
  <c r="AE183" i="1"/>
  <c r="AE188" i="1"/>
  <c r="AE190" i="1"/>
  <c r="AE154" i="1"/>
  <c r="AE157" i="1"/>
  <c r="AE163" i="1"/>
  <c r="AE161" i="1"/>
  <c r="AE165" i="1"/>
  <c r="AE160" i="1"/>
  <c r="AE164" i="1"/>
  <c r="R151" i="1"/>
  <c r="S151" i="1"/>
  <c r="U151" i="1"/>
  <c r="Y151" i="1"/>
  <c r="AA151" i="1"/>
  <c r="AC151" i="1"/>
  <c r="Z151" i="1"/>
  <c r="X151" i="1"/>
  <c r="T151" i="1"/>
  <c r="AD151" i="1"/>
  <c r="AE151" i="1"/>
  <c r="AB151" i="1"/>
  <c r="Q151" i="1"/>
  <c r="V151" i="1"/>
  <c r="O149" i="1"/>
  <c r="X150" i="1" s="1"/>
  <c r="AH16" i="1"/>
  <c r="AG193" i="1"/>
  <c r="AH25" i="1" l="1"/>
  <c r="AH26" i="1"/>
  <c r="AH28" i="1"/>
  <c r="AH32" i="1"/>
  <c r="AH23" i="1"/>
  <c r="AH27" i="1"/>
  <c r="AH24" i="1"/>
  <c r="AH30" i="1"/>
  <c r="AH31" i="1"/>
  <c r="AH34" i="1"/>
  <c r="AH40" i="1"/>
  <c r="AH29" i="1"/>
  <c r="AH36" i="1"/>
  <c r="AH38" i="1"/>
  <c r="AH42" i="1"/>
  <c r="AH33" i="1"/>
  <c r="AH39" i="1"/>
  <c r="AH46" i="1"/>
  <c r="AH35" i="1"/>
  <c r="AH41" i="1"/>
  <c r="AH43" i="1"/>
  <c r="AH37" i="1"/>
  <c r="AH44" i="1"/>
  <c r="AH45" i="1"/>
  <c r="AH59" i="1"/>
  <c r="AH51" i="1"/>
  <c r="AH56" i="1"/>
  <c r="AH60" i="1"/>
  <c r="AH53" i="1"/>
  <c r="AH57" i="1"/>
  <c r="AH55" i="1"/>
  <c r="AH58" i="1"/>
  <c r="AH62" i="1"/>
  <c r="AH65" i="1"/>
  <c r="AH69" i="1"/>
  <c r="AH61" i="1"/>
  <c r="AH66" i="1"/>
  <c r="AH70" i="1"/>
  <c r="AH63" i="1"/>
  <c r="AH67" i="1"/>
  <c r="AH71" i="1"/>
  <c r="AH68" i="1"/>
  <c r="AH73" i="1"/>
  <c r="AH64" i="1"/>
  <c r="AH74" i="1"/>
  <c r="AH75" i="1"/>
  <c r="AH77" i="1"/>
  <c r="AH81" i="1"/>
  <c r="AH85" i="1"/>
  <c r="AH72" i="1"/>
  <c r="AH78" i="1"/>
  <c r="AH82" i="1"/>
  <c r="AH79" i="1"/>
  <c r="AH83" i="1"/>
  <c r="AH87" i="1"/>
  <c r="AH84" i="1"/>
  <c r="AH90" i="1"/>
  <c r="AH94" i="1"/>
  <c r="AH98" i="1"/>
  <c r="AH102" i="1"/>
  <c r="AH80" i="1"/>
  <c r="AH86" i="1"/>
  <c r="AH91" i="1"/>
  <c r="AH95" i="1"/>
  <c r="AH99" i="1"/>
  <c r="AH103" i="1"/>
  <c r="AH76" i="1"/>
  <c r="AH88" i="1"/>
  <c r="AH92" i="1"/>
  <c r="AH97" i="1"/>
  <c r="AH105" i="1"/>
  <c r="AH109" i="1"/>
  <c r="AH113" i="1"/>
  <c r="AH100" i="1"/>
  <c r="AH106" i="1"/>
  <c r="AH110" i="1"/>
  <c r="AH114" i="1"/>
  <c r="AH93" i="1"/>
  <c r="AH101" i="1"/>
  <c r="AH107" i="1"/>
  <c r="AH111" i="1"/>
  <c r="AH115" i="1"/>
  <c r="AH119" i="1"/>
  <c r="AH123" i="1"/>
  <c r="AH127" i="1"/>
  <c r="AH131" i="1"/>
  <c r="AH130" i="1"/>
  <c r="AH96" i="1"/>
  <c r="AH112" i="1"/>
  <c r="AH116" i="1"/>
  <c r="AH120" i="1"/>
  <c r="AH124" i="1"/>
  <c r="AH128" i="1"/>
  <c r="AH126" i="1"/>
  <c r="AH89" i="1"/>
  <c r="AH108" i="1"/>
  <c r="AH117" i="1"/>
  <c r="AH121" i="1"/>
  <c r="AH125" i="1"/>
  <c r="AH129" i="1"/>
  <c r="AH104" i="1"/>
  <c r="AH118" i="1"/>
  <c r="AH122" i="1"/>
  <c r="AH52" i="1"/>
  <c r="AH54" i="1"/>
  <c r="AH50" i="1"/>
  <c r="AH137" i="1"/>
  <c r="AH138" i="1"/>
  <c r="AH139" i="1"/>
  <c r="AH136" i="1"/>
  <c r="AH135" i="1"/>
  <c r="AG196" i="1"/>
  <c r="AG194" i="1"/>
  <c r="AG150" i="1" s="1"/>
  <c r="AH132" i="1"/>
  <c r="AH134" i="1"/>
  <c r="AH133" i="1"/>
  <c r="AH47" i="1"/>
  <c r="AH48" i="1"/>
  <c r="AH49" i="1"/>
  <c r="AH19" i="1"/>
  <c r="AH20" i="1"/>
  <c r="AH21" i="1"/>
  <c r="AG195" i="1"/>
  <c r="W150" i="1"/>
  <c r="S150" i="1"/>
  <c r="AD150" i="1"/>
  <c r="Z150" i="1"/>
  <c r="V150" i="1"/>
  <c r="U150" i="1"/>
  <c r="AF183" i="1"/>
  <c r="AF168" i="1"/>
  <c r="AF167" i="1"/>
  <c r="AF166" i="1"/>
  <c r="AF165" i="1"/>
  <c r="AF164" i="1"/>
  <c r="AF162" i="1"/>
  <c r="AF163" i="1"/>
  <c r="AF161" i="1"/>
  <c r="AF160" i="1"/>
  <c r="AF159" i="1"/>
  <c r="AF158" i="1"/>
  <c r="AF157" i="1"/>
  <c r="AF156" i="1"/>
  <c r="AF155" i="1"/>
  <c r="AF153" i="1"/>
  <c r="AF154" i="1"/>
  <c r="AF151" i="1"/>
  <c r="AF152" i="1"/>
  <c r="AF150" i="1"/>
  <c r="R150" i="1"/>
  <c r="AB150" i="1"/>
  <c r="Y150" i="1"/>
  <c r="AC150" i="1"/>
  <c r="AE150" i="1"/>
  <c r="AA150" i="1"/>
  <c r="T150" i="1"/>
  <c r="Q150" i="1"/>
  <c r="O148" i="1"/>
  <c r="Z149" i="1" s="1"/>
  <c r="P157" i="1"/>
  <c r="AF177" i="1"/>
  <c r="AF187" i="1"/>
  <c r="AF171" i="1"/>
  <c r="AF174" i="1"/>
  <c r="AF192" i="1"/>
  <c r="AF169" i="1"/>
  <c r="AF175" i="1"/>
  <c r="AF181" i="1"/>
  <c r="AF170" i="1"/>
  <c r="AF172" i="1"/>
  <c r="AF179" i="1"/>
  <c r="AF186" i="1"/>
  <c r="AF184" i="1"/>
  <c r="AF191" i="1"/>
  <c r="AF176" i="1"/>
  <c r="AF182" i="1"/>
  <c r="AF190" i="1"/>
  <c r="AF188" i="1"/>
  <c r="AF173" i="1"/>
  <c r="AF178" i="1"/>
  <c r="AF180" i="1"/>
  <c r="AF185" i="1"/>
  <c r="AF189" i="1"/>
  <c r="AI16" i="1"/>
  <c r="AH193" i="1"/>
  <c r="AI24" i="1" l="1"/>
  <c r="AI25" i="1"/>
  <c r="AI31" i="1"/>
  <c r="AI26" i="1"/>
  <c r="AI23" i="1"/>
  <c r="AI27" i="1"/>
  <c r="AI29" i="1"/>
  <c r="AI28" i="1"/>
  <c r="AI33" i="1"/>
  <c r="AI37" i="1"/>
  <c r="AI39" i="1"/>
  <c r="AI30" i="1"/>
  <c r="AI32" i="1"/>
  <c r="AI35" i="1"/>
  <c r="AI41" i="1"/>
  <c r="AI34" i="1"/>
  <c r="AI40" i="1"/>
  <c r="AI45" i="1"/>
  <c r="AI36" i="1"/>
  <c r="AI42" i="1"/>
  <c r="AI46" i="1"/>
  <c r="AI43" i="1"/>
  <c r="AI38" i="1"/>
  <c r="AI44" i="1"/>
  <c r="AI51" i="1"/>
  <c r="AI59" i="1"/>
  <c r="AI53" i="1"/>
  <c r="AI56" i="1"/>
  <c r="AI60" i="1"/>
  <c r="AI55" i="1"/>
  <c r="AI57" i="1"/>
  <c r="AI58" i="1"/>
  <c r="AI62" i="1"/>
  <c r="AI63" i="1"/>
  <c r="AI65" i="1"/>
  <c r="AI69" i="1"/>
  <c r="AI66" i="1"/>
  <c r="AI67" i="1"/>
  <c r="AI71" i="1"/>
  <c r="AI61" i="1"/>
  <c r="AI73" i="1"/>
  <c r="AI68" i="1"/>
  <c r="AI74" i="1"/>
  <c r="AI64" i="1"/>
  <c r="AI70" i="1"/>
  <c r="AI75" i="1"/>
  <c r="AI77" i="1"/>
  <c r="AI81" i="1"/>
  <c r="AI78" i="1"/>
  <c r="AI82" i="1"/>
  <c r="AI72" i="1"/>
  <c r="AI79" i="1"/>
  <c r="AI83" i="1"/>
  <c r="AI86" i="1"/>
  <c r="AI90" i="1"/>
  <c r="AI94" i="1"/>
  <c r="AI98" i="1"/>
  <c r="AI102" i="1"/>
  <c r="AI87" i="1"/>
  <c r="AI91" i="1"/>
  <c r="AI95" i="1"/>
  <c r="AI99" i="1"/>
  <c r="AI103" i="1"/>
  <c r="AI80" i="1"/>
  <c r="AI84" i="1"/>
  <c r="AI88" i="1"/>
  <c r="AI92" i="1"/>
  <c r="AI89" i="1"/>
  <c r="AI101" i="1"/>
  <c r="AI105" i="1"/>
  <c r="AI109" i="1"/>
  <c r="AI113" i="1"/>
  <c r="AI76" i="1"/>
  <c r="AI85" i="1"/>
  <c r="AI96" i="1"/>
  <c r="AI106" i="1"/>
  <c r="AI110" i="1"/>
  <c r="AI114" i="1"/>
  <c r="AI97" i="1"/>
  <c r="AI107" i="1"/>
  <c r="AI111" i="1"/>
  <c r="AI115" i="1"/>
  <c r="AI104" i="1"/>
  <c r="AI119" i="1"/>
  <c r="AI123" i="1"/>
  <c r="AI127" i="1"/>
  <c r="AI131" i="1"/>
  <c r="AI100" i="1"/>
  <c r="AI108" i="1"/>
  <c r="AI122" i="1"/>
  <c r="AI116" i="1"/>
  <c r="AI120" i="1"/>
  <c r="AI124" i="1"/>
  <c r="AI128" i="1"/>
  <c r="AI118" i="1"/>
  <c r="AI130" i="1"/>
  <c r="AI112" i="1"/>
  <c r="AI117" i="1"/>
  <c r="AI121" i="1"/>
  <c r="AI125" i="1"/>
  <c r="AI129" i="1"/>
  <c r="AI93" i="1"/>
  <c r="AI126" i="1"/>
  <c r="AI54" i="1"/>
  <c r="AI52" i="1"/>
  <c r="AI50" i="1"/>
  <c r="AI139" i="1"/>
  <c r="AI137" i="1"/>
  <c r="AI138" i="1"/>
  <c r="AI135" i="1"/>
  <c r="AI136" i="1"/>
  <c r="AH194" i="1"/>
  <c r="AH196" i="1"/>
  <c r="AI134" i="1"/>
  <c r="AI133" i="1"/>
  <c r="AI47" i="1"/>
  <c r="AI48" i="1"/>
  <c r="AI49" i="1"/>
  <c r="AI20" i="1"/>
  <c r="AI21" i="1"/>
  <c r="AI132" i="1"/>
  <c r="AI19" i="1"/>
  <c r="AH195" i="1"/>
  <c r="Y149" i="1"/>
  <c r="X149" i="1"/>
  <c r="AA149" i="1"/>
  <c r="Q149" i="1"/>
  <c r="AG167" i="1"/>
  <c r="AG168" i="1"/>
  <c r="AG165" i="1"/>
  <c r="AG166" i="1"/>
  <c r="AG164" i="1"/>
  <c r="AG163" i="1"/>
  <c r="AG162" i="1"/>
  <c r="AG161" i="1"/>
  <c r="AG159" i="1"/>
  <c r="AG160" i="1"/>
  <c r="AG158" i="1"/>
  <c r="AG157" i="1"/>
  <c r="AG156" i="1"/>
  <c r="AG155" i="1"/>
  <c r="AG154" i="1"/>
  <c r="AG153" i="1"/>
  <c r="AG152" i="1"/>
  <c r="AG151" i="1"/>
  <c r="AC149" i="1"/>
  <c r="AB149" i="1"/>
  <c r="V149" i="1"/>
  <c r="AD149" i="1"/>
  <c r="AE149" i="1"/>
  <c r="S149" i="1"/>
  <c r="AA148" i="1"/>
  <c r="V148" i="1"/>
  <c r="Z148" i="1"/>
  <c r="AG148" i="1"/>
  <c r="AC148" i="1"/>
  <c r="Y148" i="1"/>
  <c r="U148" i="1"/>
  <c r="Q148" i="1"/>
  <c r="AE148" i="1"/>
  <c r="S148" i="1"/>
  <c r="R148" i="1"/>
  <c r="AF148" i="1"/>
  <c r="AB148" i="1"/>
  <c r="X148" i="1"/>
  <c r="T148" i="1"/>
  <c r="W148" i="1"/>
  <c r="AD148" i="1"/>
  <c r="P148" i="1"/>
  <c r="P149" i="1"/>
  <c r="AF149" i="1"/>
  <c r="T149" i="1"/>
  <c r="W149" i="1"/>
  <c r="R149" i="1"/>
  <c r="U149" i="1"/>
  <c r="AG149" i="1"/>
  <c r="AJ16" i="1"/>
  <c r="AI193" i="1"/>
  <c r="AG188" i="1"/>
  <c r="AG184" i="1"/>
  <c r="AG192" i="1"/>
  <c r="AG189" i="1"/>
  <c r="AG185" i="1"/>
  <c r="AG190" i="1"/>
  <c r="AG191" i="1"/>
  <c r="AG187" i="1"/>
  <c r="AG186" i="1"/>
  <c r="AG182" i="1"/>
  <c r="AG178" i="1"/>
  <c r="AG180" i="1"/>
  <c r="AG176" i="1"/>
  <c r="AG183" i="1"/>
  <c r="AG181" i="1"/>
  <c r="AG177" i="1"/>
  <c r="AG175" i="1"/>
  <c r="AG173" i="1"/>
  <c r="AG169" i="1"/>
  <c r="AG179" i="1"/>
  <c r="AG171" i="1"/>
  <c r="AG170" i="1"/>
  <c r="AG172" i="1"/>
  <c r="AG174" i="1"/>
  <c r="AJ23" i="1" l="1"/>
  <c r="AJ27" i="1"/>
  <c r="AJ24" i="1"/>
  <c r="AJ30" i="1"/>
  <c r="AJ25" i="1"/>
  <c r="AJ26" i="1"/>
  <c r="AJ28" i="1"/>
  <c r="AJ32" i="1"/>
  <c r="AJ29" i="1"/>
  <c r="AJ31" i="1"/>
  <c r="AJ36" i="1"/>
  <c r="AJ38" i="1"/>
  <c r="AJ42" i="1"/>
  <c r="AJ34" i="1"/>
  <c r="AJ40" i="1"/>
  <c r="AJ37" i="1"/>
  <c r="AJ46" i="1"/>
  <c r="AJ39" i="1"/>
  <c r="AJ43" i="1"/>
  <c r="AJ33" i="1"/>
  <c r="AJ35" i="1"/>
  <c r="AJ41" i="1"/>
  <c r="AJ44" i="1"/>
  <c r="AJ45" i="1"/>
  <c r="AJ53" i="1"/>
  <c r="AJ59" i="1"/>
  <c r="AJ55" i="1"/>
  <c r="AJ56" i="1"/>
  <c r="AJ60" i="1"/>
  <c r="AJ57" i="1"/>
  <c r="AJ51" i="1"/>
  <c r="AJ58" i="1"/>
  <c r="AJ62" i="1"/>
  <c r="AJ65" i="1"/>
  <c r="AJ69" i="1"/>
  <c r="AJ61" i="1"/>
  <c r="AJ66" i="1"/>
  <c r="AJ63" i="1"/>
  <c r="AJ67" i="1"/>
  <c r="AJ71" i="1"/>
  <c r="AJ70" i="1"/>
  <c r="AJ73" i="1"/>
  <c r="AJ74" i="1"/>
  <c r="AJ75" i="1"/>
  <c r="AJ77" i="1"/>
  <c r="AJ81" i="1"/>
  <c r="AJ78" i="1"/>
  <c r="AJ82" i="1"/>
  <c r="AJ64" i="1"/>
  <c r="AJ79" i="1"/>
  <c r="AJ83" i="1"/>
  <c r="AJ68" i="1"/>
  <c r="AJ72" i="1"/>
  <c r="AJ76" i="1"/>
  <c r="AJ86" i="1"/>
  <c r="AJ90" i="1"/>
  <c r="AJ94" i="1"/>
  <c r="AJ98" i="1"/>
  <c r="AJ102" i="1"/>
  <c r="AJ87" i="1"/>
  <c r="AJ91" i="1"/>
  <c r="AJ95" i="1"/>
  <c r="AJ99" i="1"/>
  <c r="AJ103" i="1"/>
  <c r="AJ84" i="1"/>
  <c r="AJ88" i="1"/>
  <c r="AJ92" i="1"/>
  <c r="AJ93" i="1"/>
  <c r="AJ97" i="1"/>
  <c r="AJ105" i="1"/>
  <c r="AJ109" i="1"/>
  <c r="AJ113" i="1"/>
  <c r="AJ89" i="1"/>
  <c r="AJ100" i="1"/>
  <c r="AJ106" i="1"/>
  <c r="AJ110" i="1"/>
  <c r="AJ114" i="1"/>
  <c r="AJ80" i="1"/>
  <c r="AJ85" i="1"/>
  <c r="AJ101" i="1"/>
  <c r="AJ107" i="1"/>
  <c r="AJ111" i="1"/>
  <c r="AJ115" i="1"/>
  <c r="AJ108" i="1"/>
  <c r="AJ119" i="1"/>
  <c r="AJ123" i="1"/>
  <c r="AJ127" i="1"/>
  <c r="AJ131" i="1"/>
  <c r="AJ118" i="1"/>
  <c r="AJ130" i="1"/>
  <c r="AJ104" i="1"/>
  <c r="AJ116" i="1"/>
  <c r="AJ120" i="1"/>
  <c r="AJ124" i="1"/>
  <c r="AJ128" i="1"/>
  <c r="AJ112" i="1"/>
  <c r="AJ122" i="1"/>
  <c r="AJ126" i="1"/>
  <c r="AJ96" i="1"/>
  <c r="AJ117" i="1"/>
  <c r="AJ121" i="1"/>
  <c r="AJ125" i="1"/>
  <c r="AJ129" i="1"/>
  <c r="AJ52" i="1"/>
  <c r="AJ54" i="1"/>
  <c r="AJ50" i="1"/>
  <c r="AJ137" i="1"/>
  <c r="AJ138" i="1"/>
  <c r="AJ139" i="1"/>
  <c r="AJ135" i="1"/>
  <c r="AJ136" i="1"/>
  <c r="AJ134" i="1"/>
  <c r="AJ48" i="1"/>
  <c r="AJ49" i="1"/>
  <c r="AJ132" i="1"/>
  <c r="AJ21" i="1"/>
  <c r="AJ47" i="1"/>
  <c r="AJ133" i="1"/>
  <c r="AJ19" i="1"/>
  <c r="AJ20" i="1"/>
  <c r="AI195" i="1"/>
  <c r="AI196" i="1"/>
  <c r="AI194" i="1"/>
  <c r="AI168" i="1" s="1"/>
  <c r="AH184" i="1"/>
  <c r="AH192" i="1"/>
  <c r="AH174" i="1"/>
  <c r="AH181" i="1"/>
  <c r="AH173" i="1"/>
  <c r="AH186" i="1"/>
  <c r="AH169" i="1"/>
  <c r="AH182" i="1"/>
  <c r="AH187" i="1"/>
  <c r="AH176" i="1"/>
  <c r="AH180" i="1"/>
  <c r="AH185" i="1"/>
  <c r="AH175" i="1"/>
  <c r="AH170" i="1"/>
  <c r="AH177" i="1"/>
  <c r="AH179" i="1"/>
  <c r="AH191" i="1"/>
  <c r="AH189" i="1"/>
  <c r="AH149" i="1"/>
  <c r="AH171" i="1"/>
  <c r="AH172" i="1"/>
  <c r="AH178" i="1"/>
  <c r="AH183" i="1"/>
  <c r="AH188" i="1"/>
  <c r="AH190" i="1"/>
  <c r="AH148" i="1"/>
  <c r="AH150" i="1"/>
  <c r="AH155" i="1"/>
  <c r="AH162" i="1"/>
  <c r="AH159" i="1"/>
  <c r="AH151" i="1"/>
  <c r="AH168" i="1"/>
  <c r="AH157" i="1"/>
  <c r="AH164" i="1"/>
  <c r="AH153" i="1"/>
  <c r="AH161" i="1"/>
  <c r="AH152" i="1"/>
  <c r="AH156" i="1"/>
  <c r="AH160" i="1"/>
  <c r="AH165" i="1"/>
  <c r="AH167" i="1"/>
  <c r="AH154" i="1"/>
  <c r="AH158" i="1"/>
  <c r="AH163" i="1"/>
  <c r="AH166" i="1"/>
  <c r="AK16" i="1"/>
  <c r="AJ193" i="1"/>
  <c r="AK26" i="1" l="1"/>
  <c r="AK23" i="1"/>
  <c r="AK27" i="1"/>
  <c r="AK29" i="1"/>
  <c r="AK24" i="1"/>
  <c r="AK25" i="1"/>
  <c r="AK31" i="1"/>
  <c r="AK32" i="1"/>
  <c r="AK35" i="1"/>
  <c r="AK28" i="1"/>
  <c r="AK30" i="1"/>
  <c r="AK33" i="1"/>
  <c r="AK37" i="1"/>
  <c r="AK42" i="1"/>
  <c r="AK45" i="1"/>
  <c r="AK34" i="1"/>
  <c r="AK39" i="1"/>
  <c r="AK46" i="1"/>
  <c r="AK40" i="1"/>
  <c r="AK36" i="1"/>
  <c r="AK43" i="1"/>
  <c r="AK41" i="1"/>
  <c r="AK44" i="1"/>
  <c r="AK38" i="1"/>
  <c r="AK55" i="1"/>
  <c r="AK59" i="1"/>
  <c r="AK56" i="1"/>
  <c r="AK60" i="1"/>
  <c r="AK51" i="1"/>
  <c r="AK57" i="1"/>
  <c r="AK53" i="1"/>
  <c r="AK58" i="1"/>
  <c r="AK62" i="1"/>
  <c r="AK63" i="1"/>
  <c r="AK65" i="1"/>
  <c r="AK69" i="1"/>
  <c r="AK66" i="1"/>
  <c r="AK67" i="1"/>
  <c r="AK71" i="1"/>
  <c r="AK64" i="1"/>
  <c r="AK73" i="1"/>
  <c r="AK61" i="1"/>
  <c r="AK68" i="1"/>
  <c r="AK74" i="1"/>
  <c r="AK70" i="1"/>
  <c r="AK75" i="1"/>
  <c r="AK72" i="1"/>
  <c r="AK77" i="1"/>
  <c r="AK81" i="1"/>
  <c r="AK78" i="1"/>
  <c r="AK82" i="1"/>
  <c r="AK79" i="1"/>
  <c r="AK83" i="1"/>
  <c r="AK80" i="1"/>
  <c r="AK86" i="1"/>
  <c r="AK90" i="1"/>
  <c r="AK94" i="1"/>
  <c r="AK98" i="1"/>
  <c r="AK102" i="1"/>
  <c r="AK76" i="1"/>
  <c r="AK87" i="1"/>
  <c r="AK91" i="1"/>
  <c r="AK95" i="1"/>
  <c r="AK99" i="1"/>
  <c r="AK103" i="1"/>
  <c r="AK84" i="1"/>
  <c r="AK88" i="1"/>
  <c r="AK92" i="1"/>
  <c r="AK101" i="1"/>
  <c r="AK105" i="1"/>
  <c r="AK109" i="1"/>
  <c r="AK113" i="1"/>
  <c r="AK93" i="1"/>
  <c r="AK96" i="1"/>
  <c r="AK106" i="1"/>
  <c r="AK110" i="1"/>
  <c r="AK114" i="1"/>
  <c r="AK89" i="1"/>
  <c r="AK97" i="1"/>
  <c r="AK107" i="1"/>
  <c r="AK111" i="1"/>
  <c r="AK115" i="1"/>
  <c r="AK100" i="1"/>
  <c r="AK112" i="1"/>
  <c r="AK119" i="1"/>
  <c r="AK123" i="1"/>
  <c r="AK127" i="1"/>
  <c r="AK131" i="1"/>
  <c r="AK122" i="1"/>
  <c r="AK126" i="1"/>
  <c r="AK108" i="1"/>
  <c r="AK116" i="1"/>
  <c r="AK120" i="1"/>
  <c r="AK124" i="1"/>
  <c r="AK128" i="1"/>
  <c r="AK85" i="1"/>
  <c r="AK104" i="1"/>
  <c r="AK117" i="1"/>
  <c r="AK121" i="1"/>
  <c r="AK125" i="1"/>
  <c r="AK129" i="1"/>
  <c r="AK118" i="1"/>
  <c r="AK130" i="1"/>
  <c r="AK54" i="1"/>
  <c r="AK50" i="1"/>
  <c r="AK52" i="1"/>
  <c r="AK139" i="1"/>
  <c r="AK137" i="1"/>
  <c r="AK138" i="1"/>
  <c r="AK135" i="1"/>
  <c r="AK136" i="1"/>
  <c r="AJ195" i="1"/>
  <c r="AK49" i="1"/>
  <c r="AK132" i="1"/>
  <c r="AK133" i="1"/>
  <c r="AK47" i="1"/>
  <c r="AK48" i="1"/>
  <c r="AK19" i="1"/>
  <c r="AK134" i="1"/>
  <c r="AK20" i="1"/>
  <c r="AK21" i="1"/>
  <c r="AJ194" i="1"/>
  <c r="AJ196" i="1"/>
  <c r="AI171" i="1"/>
  <c r="AI161" i="1"/>
  <c r="AI184" i="1"/>
  <c r="AI186" i="1"/>
  <c r="AI154" i="1"/>
  <c r="AI178" i="1"/>
  <c r="AI150" i="1"/>
  <c r="AI166" i="1"/>
  <c r="AI176" i="1"/>
  <c r="AI192" i="1"/>
  <c r="AI158" i="1"/>
  <c r="AI174" i="1"/>
  <c r="AI175" i="1"/>
  <c r="AI185" i="1"/>
  <c r="AI148" i="1"/>
  <c r="AI156" i="1"/>
  <c r="AI164" i="1"/>
  <c r="AI169" i="1"/>
  <c r="AI181" i="1"/>
  <c r="AI187" i="1"/>
  <c r="AI152" i="1"/>
  <c r="AI160" i="1"/>
  <c r="AI167" i="1"/>
  <c r="AI172" i="1"/>
  <c r="AI173" i="1"/>
  <c r="AI179" i="1"/>
  <c r="AI183" i="1"/>
  <c r="AI189" i="1"/>
  <c r="AI191" i="1"/>
  <c r="AI149" i="1"/>
  <c r="AI153" i="1"/>
  <c r="AI157" i="1"/>
  <c r="AI162" i="1"/>
  <c r="AI165" i="1"/>
  <c r="AI170" i="1"/>
  <c r="AI177" i="1"/>
  <c r="AI182" i="1"/>
  <c r="AI180" i="1"/>
  <c r="AI188" i="1"/>
  <c r="AI190" i="1"/>
  <c r="AI151" i="1"/>
  <c r="AI155" i="1"/>
  <c r="AI159" i="1"/>
  <c r="AI163" i="1"/>
  <c r="AL16" i="1"/>
  <c r="AK193" i="1"/>
  <c r="AL25" i="1" l="1"/>
  <c r="AL26" i="1"/>
  <c r="AL28" i="1"/>
  <c r="AL32" i="1"/>
  <c r="AL23" i="1"/>
  <c r="AL27" i="1"/>
  <c r="AL24" i="1"/>
  <c r="AL30" i="1"/>
  <c r="AL29" i="1"/>
  <c r="AL34" i="1"/>
  <c r="AL31" i="1"/>
  <c r="AL36" i="1"/>
  <c r="AL35" i="1"/>
  <c r="AL37" i="1"/>
  <c r="AL38" i="1"/>
  <c r="AL42" i="1"/>
  <c r="AL46" i="1"/>
  <c r="AL43" i="1"/>
  <c r="AL39" i="1"/>
  <c r="AL33" i="1"/>
  <c r="AL40" i="1"/>
  <c r="AL44" i="1"/>
  <c r="AL41" i="1"/>
  <c r="AL45" i="1"/>
  <c r="AL59" i="1"/>
  <c r="AL51" i="1"/>
  <c r="AL56" i="1"/>
  <c r="AL60" i="1"/>
  <c r="AL53" i="1"/>
  <c r="AL57" i="1"/>
  <c r="AL55" i="1"/>
  <c r="AL58" i="1"/>
  <c r="AL62" i="1"/>
  <c r="AL65" i="1"/>
  <c r="AL69" i="1"/>
  <c r="AL61" i="1"/>
  <c r="AL66" i="1"/>
  <c r="AL63" i="1"/>
  <c r="AL67" i="1"/>
  <c r="AL71" i="1"/>
  <c r="AL70" i="1"/>
  <c r="AL73" i="1"/>
  <c r="AL64" i="1"/>
  <c r="AL74" i="1"/>
  <c r="AL75" i="1"/>
  <c r="AL68" i="1"/>
  <c r="AL77" i="1"/>
  <c r="AL81" i="1"/>
  <c r="AL72" i="1"/>
  <c r="AL78" i="1"/>
  <c r="AL82" i="1"/>
  <c r="AL79" i="1"/>
  <c r="AL83" i="1"/>
  <c r="AL86" i="1"/>
  <c r="AL90" i="1"/>
  <c r="AL94" i="1"/>
  <c r="AL98" i="1"/>
  <c r="AL102" i="1"/>
  <c r="AL80" i="1"/>
  <c r="AL87" i="1"/>
  <c r="AL91" i="1"/>
  <c r="AL95" i="1"/>
  <c r="AL99" i="1"/>
  <c r="AL103" i="1"/>
  <c r="AL76" i="1"/>
  <c r="AL84" i="1"/>
  <c r="AL88" i="1"/>
  <c r="AL92" i="1"/>
  <c r="AL85" i="1"/>
  <c r="AL97" i="1"/>
  <c r="AL105" i="1"/>
  <c r="AL109" i="1"/>
  <c r="AL113" i="1"/>
  <c r="AL100" i="1"/>
  <c r="AL106" i="1"/>
  <c r="AL110" i="1"/>
  <c r="AL114" i="1"/>
  <c r="AL93" i="1"/>
  <c r="AL101" i="1"/>
  <c r="AL107" i="1"/>
  <c r="AL111" i="1"/>
  <c r="AL115" i="1"/>
  <c r="AL119" i="1"/>
  <c r="AL123" i="1"/>
  <c r="AL127" i="1"/>
  <c r="AL131" i="1"/>
  <c r="AL96" i="1"/>
  <c r="AL104" i="1"/>
  <c r="AL112" i="1"/>
  <c r="AL116" i="1"/>
  <c r="AL120" i="1"/>
  <c r="AL124" i="1"/>
  <c r="AL128" i="1"/>
  <c r="AL118" i="1"/>
  <c r="AL130" i="1"/>
  <c r="AL108" i="1"/>
  <c r="AL117" i="1"/>
  <c r="AL121" i="1"/>
  <c r="AL125" i="1"/>
  <c r="AL129" i="1"/>
  <c r="AL89" i="1"/>
  <c r="AL122" i="1"/>
  <c r="AL126" i="1"/>
  <c r="AL54" i="1"/>
  <c r="AL50" i="1"/>
  <c r="AL52" i="1"/>
  <c r="AL137" i="1"/>
  <c r="AL138" i="1"/>
  <c r="AL139" i="1"/>
  <c r="AL136" i="1"/>
  <c r="AL135" i="1"/>
  <c r="AL132" i="1"/>
  <c r="AL133" i="1"/>
  <c r="AL47" i="1"/>
  <c r="AL134" i="1"/>
  <c r="AL48" i="1"/>
  <c r="AL19" i="1"/>
  <c r="AL20" i="1"/>
  <c r="AL21" i="1"/>
  <c r="AL49" i="1"/>
  <c r="AK194" i="1"/>
  <c r="AK168" i="1" s="1"/>
  <c r="AK196" i="1"/>
  <c r="AK195" i="1"/>
  <c r="AJ191" i="1"/>
  <c r="AJ168" i="1"/>
  <c r="AJ167" i="1"/>
  <c r="AJ165" i="1"/>
  <c r="AJ166" i="1"/>
  <c r="AJ164" i="1"/>
  <c r="AJ163" i="1"/>
  <c r="AJ161" i="1"/>
  <c r="AJ162" i="1"/>
  <c r="AJ160" i="1"/>
  <c r="AJ158" i="1"/>
  <c r="AJ159" i="1"/>
  <c r="AJ157" i="1"/>
  <c r="AJ156" i="1"/>
  <c r="AJ155" i="1"/>
  <c r="AJ154" i="1"/>
  <c r="AJ153" i="1"/>
  <c r="AJ152" i="1"/>
  <c r="AJ151" i="1"/>
  <c r="AJ150" i="1"/>
  <c r="AJ148" i="1"/>
  <c r="AJ149" i="1"/>
  <c r="AJ172" i="1"/>
  <c r="AJ173" i="1"/>
  <c r="AJ178" i="1"/>
  <c r="AJ177" i="1"/>
  <c r="AJ176" i="1"/>
  <c r="AJ171" i="1"/>
  <c r="AJ170" i="1"/>
  <c r="AJ175" i="1"/>
  <c r="AJ179" i="1"/>
  <c r="AJ182" i="1"/>
  <c r="AJ185" i="1"/>
  <c r="AJ186" i="1"/>
  <c r="AJ183" i="1"/>
  <c r="AJ169" i="1"/>
  <c r="AJ174" i="1"/>
  <c r="AJ180" i="1"/>
  <c r="AJ181" i="1"/>
  <c r="AJ189" i="1"/>
  <c r="AJ188" i="1"/>
  <c r="AJ190" i="1"/>
  <c r="AJ192" i="1"/>
  <c r="AJ187" i="1"/>
  <c r="AJ184" i="1"/>
  <c r="AM16" i="1"/>
  <c r="AL193" i="1"/>
  <c r="AM24" i="1" l="1"/>
  <c r="AM25" i="1"/>
  <c r="AM31" i="1"/>
  <c r="AM26" i="1"/>
  <c r="AM23" i="1"/>
  <c r="AM27" i="1"/>
  <c r="AM29" i="1"/>
  <c r="AM30" i="1"/>
  <c r="AM32" i="1"/>
  <c r="AM33" i="1"/>
  <c r="AM37" i="1"/>
  <c r="AM28" i="1"/>
  <c r="AM35" i="1"/>
  <c r="AM45" i="1"/>
  <c r="AM41" i="1"/>
  <c r="AM46" i="1"/>
  <c r="AM38" i="1"/>
  <c r="AM34" i="1"/>
  <c r="AM42" i="1"/>
  <c r="AM43" i="1"/>
  <c r="AM36" i="1"/>
  <c r="AM39" i="1"/>
  <c r="AM44" i="1"/>
  <c r="AM40" i="1"/>
  <c r="AM51" i="1"/>
  <c r="AM59" i="1"/>
  <c r="AM53" i="1"/>
  <c r="AM56" i="1"/>
  <c r="AM60" i="1"/>
  <c r="AM55" i="1"/>
  <c r="AM57" i="1"/>
  <c r="AM58" i="1"/>
  <c r="AM62" i="1"/>
  <c r="AM63" i="1"/>
  <c r="AM65" i="1"/>
  <c r="AM69" i="1"/>
  <c r="AM66" i="1"/>
  <c r="AM67" i="1"/>
  <c r="AM71" i="1"/>
  <c r="AM73" i="1"/>
  <c r="AM68" i="1"/>
  <c r="AM74" i="1"/>
  <c r="AM61" i="1"/>
  <c r="AM64" i="1"/>
  <c r="AM70" i="1"/>
  <c r="AM75" i="1"/>
  <c r="AM77" i="1"/>
  <c r="AM81" i="1"/>
  <c r="AM78" i="1"/>
  <c r="AM82" i="1"/>
  <c r="AM72" i="1"/>
  <c r="AM79" i="1"/>
  <c r="AM83" i="1"/>
  <c r="AM86" i="1"/>
  <c r="AM90" i="1"/>
  <c r="AM94" i="1"/>
  <c r="AM98" i="1"/>
  <c r="AM87" i="1"/>
  <c r="AM91" i="1"/>
  <c r="AM95" i="1"/>
  <c r="AM99" i="1"/>
  <c r="AM80" i="1"/>
  <c r="AM84" i="1"/>
  <c r="AM88" i="1"/>
  <c r="AM92" i="1"/>
  <c r="AM89" i="1"/>
  <c r="AM101" i="1"/>
  <c r="AM105" i="1"/>
  <c r="AM109" i="1"/>
  <c r="AM113" i="1"/>
  <c r="AM85" i="1"/>
  <c r="AM96" i="1"/>
  <c r="AM102" i="1"/>
  <c r="AM106" i="1"/>
  <c r="AM110" i="1"/>
  <c r="AM114" i="1"/>
  <c r="AM76" i="1"/>
  <c r="AM97" i="1"/>
  <c r="AM103" i="1"/>
  <c r="AM107" i="1"/>
  <c r="AM111" i="1"/>
  <c r="AM115" i="1"/>
  <c r="AM93" i="1"/>
  <c r="AM104" i="1"/>
  <c r="AM119" i="1"/>
  <c r="AM123" i="1"/>
  <c r="AM127" i="1"/>
  <c r="AM131" i="1"/>
  <c r="AM118" i="1"/>
  <c r="AM126" i="1"/>
  <c r="AM130" i="1"/>
  <c r="AM100" i="1"/>
  <c r="AM116" i="1"/>
  <c r="AM120" i="1"/>
  <c r="AM124" i="1"/>
  <c r="AM128" i="1"/>
  <c r="AM122" i="1"/>
  <c r="AM112" i="1"/>
  <c r="AM117" i="1"/>
  <c r="AM121" i="1"/>
  <c r="AM125" i="1"/>
  <c r="AM129" i="1"/>
  <c r="AM108" i="1"/>
  <c r="AM52" i="1"/>
  <c r="AM54" i="1"/>
  <c r="AM50" i="1"/>
  <c r="AM139" i="1"/>
  <c r="AM137" i="1"/>
  <c r="AM138" i="1"/>
  <c r="AM135" i="1"/>
  <c r="AM136" i="1"/>
  <c r="AL194" i="1"/>
  <c r="AM134" i="1"/>
  <c r="AM133" i="1"/>
  <c r="AM47" i="1"/>
  <c r="AM48" i="1"/>
  <c r="AM49" i="1"/>
  <c r="AM20" i="1"/>
  <c r="AM21" i="1"/>
  <c r="AM132" i="1"/>
  <c r="AM19" i="1"/>
  <c r="AL196" i="1"/>
  <c r="AL195" i="1"/>
  <c r="AK176" i="1"/>
  <c r="AK172" i="1"/>
  <c r="AK190" i="1"/>
  <c r="AK183" i="1"/>
  <c r="AK173" i="1"/>
  <c r="AK184" i="1"/>
  <c r="AK170" i="1"/>
  <c r="AK177" i="1"/>
  <c r="AK191" i="1"/>
  <c r="AK175" i="1"/>
  <c r="AK178" i="1"/>
  <c r="AK189" i="1"/>
  <c r="AK151" i="1"/>
  <c r="AK159" i="1"/>
  <c r="AK154" i="1"/>
  <c r="AK149" i="1"/>
  <c r="AK163" i="1"/>
  <c r="AK171" i="1"/>
  <c r="AK179" i="1"/>
  <c r="AK180" i="1"/>
  <c r="AK187" i="1"/>
  <c r="AK185" i="1"/>
  <c r="AK188" i="1"/>
  <c r="AK148" i="1"/>
  <c r="AK152" i="1"/>
  <c r="AK156" i="1"/>
  <c r="AK160" i="1"/>
  <c r="AK164" i="1"/>
  <c r="AK167" i="1"/>
  <c r="AK165" i="1"/>
  <c r="AK153" i="1"/>
  <c r="AK157" i="1"/>
  <c r="AK161" i="1"/>
  <c r="AK174" i="1"/>
  <c r="AK169" i="1"/>
  <c r="AK181" i="1"/>
  <c r="AK182" i="1"/>
  <c r="AK186" i="1"/>
  <c r="AK192" i="1"/>
  <c r="AK150" i="1"/>
  <c r="AK155" i="1"/>
  <c r="AK158" i="1"/>
  <c r="AK162" i="1"/>
  <c r="AK166" i="1"/>
  <c r="AN16" i="1"/>
  <c r="AM193" i="1"/>
  <c r="AN23" i="1" l="1"/>
  <c r="AN27" i="1"/>
  <c r="AN24" i="1"/>
  <c r="AN30" i="1"/>
  <c r="AN25" i="1"/>
  <c r="AN26" i="1"/>
  <c r="AN28" i="1"/>
  <c r="AN32" i="1"/>
  <c r="AN36" i="1"/>
  <c r="AN29" i="1"/>
  <c r="AN31" i="1"/>
  <c r="AN34" i="1"/>
  <c r="AN33" i="1"/>
  <c r="AN39" i="1"/>
  <c r="AN35" i="1"/>
  <c r="AN40" i="1"/>
  <c r="AN46" i="1"/>
  <c r="AN41" i="1"/>
  <c r="AN43" i="1"/>
  <c r="AN37" i="1"/>
  <c r="AN38" i="1"/>
  <c r="AN42" i="1"/>
  <c r="AN44" i="1"/>
  <c r="AN45" i="1"/>
  <c r="AN53" i="1"/>
  <c r="AN59" i="1"/>
  <c r="AN55" i="1"/>
  <c r="AN56" i="1"/>
  <c r="AN60" i="1"/>
  <c r="AN57" i="1"/>
  <c r="AN51" i="1"/>
  <c r="AN58" i="1"/>
  <c r="AN62" i="1"/>
  <c r="AN65" i="1"/>
  <c r="AN69" i="1"/>
  <c r="AN61" i="1"/>
  <c r="AN66" i="1"/>
  <c r="AN63" i="1"/>
  <c r="AN67" i="1"/>
  <c r="AN71" i="1"/>
  <c r="AN70" i="1"/>
  <c r="AN73" i="1"/>
  <c r="AN74" i="1"/>
  <c r="AN75" i="1"/>
  <c r="AN77" i="1"/>
  <c r="AN81" i="1"/>
  <c r="AN68" i="1"/>
  <c r="AN78" i="1"/>
  <c r="AN82" i="1"/>
  <c r="AN79" i="1"/>
  <c r="AN83" i="1"/>
  <c r="AN76" i="1"/>
  <c r="AN86" i="1"/>
  <c r="AN90" i="1"/>
  <c r="AN94" i="1"/>
  <c r="AN98" i="1"/>
  <c r="AN72" i="1"/>
  <c r="AN87" i="1"/>
  <c r="AN91" i="1"/>
  <c r="AN95" i="1"/>
  <c r="AN99" i="1"/>
  <c r="AN64" i="1"/>
  <c r="AN84" i="1"/>
  <c r="AN88" i="1"/>
  <c r="AN92" i="1"/>
  <c r="AN93" i="1"/>
  <c r="AN97" i="1"/>
  <c r="AN101" i="1"/>
  <c r="AN105" i="1"/>
  <c r="AN109" i="1"/>
  <c r="AN113" i="1"/>
  <c r="AN89" i="1"/>
  <c r="AN102" i="1"/>
  <c r="AN106" i="1"/>
  <c r="AN110" i="1"/>
  <c r="AN114" i="1"/>
  <c r="AN85" i="1"/>
  <c r="AN103" i="1"/>
  <c r="AN107" i="1"/>
  <c r="AN111" i="1"/>
  <c r="AN115" i="1"/>
  <c r="AN96" i="1"/>
  <c r="AN108" i="1"/>
  <c r="AN119" i="1"/>
  <c r="AN123" i="1"/>
  <c r="AN127" i="1"/>
  <c r="AN131" i="1"/>
  <c r="AN122" i="1"/>
  <c r="AN104" i="1"/>
  <c r="AN116" i="1"/>
  <c r="AN120" i="1"/>
  <c r="AN124" i="1"/>
  <c r="AN128" i="1"/>
  <c r="AN126" i="1"/>
  <c r="AN100" i="1"/>
  <c r="AN117" i="1"/>
  <c r="AN121" i="1"/>
  <c r="AN125" i="1"/>
  <c r="AN129" i="1"/>
  <c r="AN80" i="1"/>
  <c r="AN112" i="1"/>
  <c r="AN118" i="1"/>
  <c r="AN130" i="1"/>
  <c r="AN54" i="1"/>
  <c r="AN50" i="1"/>
  <c r="AN52" i="1"/>
  <c r="AN137" i="1"/>
  <c r="AN138" i="1"/>
  <c r="AN139" i="1"/>
  <c r="AN135" i="1"/>
  <c r="AN136" i="1"/>
  <c r="AM195" i="1"/>
  <c r="AM196" i="1"/>
  <c r="AN48" i="1"/>
  <c r="AN134" i="1"/>
  <c r="AN49" i="1"/>
  <c r="AN132" i="1"/>
  <c r="AN47" i="1"/>
  <c r="AN21" i="1"/>
  <c r="AN133" i="1"/>
  <c r="AN19" i="1"/>
  <c r="AN20" i="1"/>
  <c r="AM194" i="1"/>
  <c r="AL189" i="1"/>
  <c r="AL176" i="1"/>
  <c r="AL170" i="1"/>
  <c r="AL183" i="1"/>
  <c r="AL175" i="1"/>
  <c r="AL179" i="1"/>
  <c r="AL171" i="1"/>
  <c r="AL174" i="1"/>
  <c r="AL180" i="1"/>
  <c r="AL151" i="1"/>
  <c r="AL157" i="1"/>
  <c r="AL169" i="1"/>
  <c r="AL182" i="1"/>
  <c r="AL187" i="1"/>
  <c r="AL161" i="1"/>
  <c r="AL167" i="1"/>
  <c r="AL191" i="1"/>
  <c r="AL192" i="1"/>
  <c r="AL153" i="1"/>
  <c r="AL158" i="1"/>
  <c r="AL164" i="1"/>
  <c r="AL177" i="1"/>
  <c r="AL184" i="1"/>
  <c r="AL186" i="1"/>
  <c r="AL148" i="1"/>
  <c r="AL155" i="1"/>
  <c r="AL159" i="1"/>
  <c r="AL165" i="1"/>
  <c r="AL173" i="1"/>
  <c r="AL172" i="1"/>
  <c r="AL178" i="1"/>
  <c r="AL181" i="1"/>
  <c r="AL188" i="1"/>
  <c r="AL185" i="1"/>
  <c r="AL150" i="1"/>
  <c r="AL154" i="1"/>
  <c r="AL162" i="1"/>
  <c r="AL166" i="1"/>
  <c r="AL190" i="1"/>
  <c r="AL149" i="1"/>
  <c r="AL152" i="1"/>
  <c r="AL156" i="1"/>
  <c r="AL160" i="1"/>
  <c r="AL163" i="1"/>
  <c r="AL168" i="1"/>
  <c r="AO16" i="1"/>
  <c r="AN193" i="1"/>
  <c r="AO26" i="1" l="1"/>
  <c r="AO23" i="1"/>
  <c r="AO27" i="1"/>
  <c r="AO29" i="1"/>
  <c r="AO24" i="1"/>
  <c r="AO25" i="1"/>
  <c r="AO31" i="1"/>
  <c r="AO28" i="1"/>
  <c r="AO30" i="1"/>
  <c r="AO35" i="1"/>
  <c r="AO32" i="1"/>
  <c r="AO33" i="1"/>
  <c r="AO37" i="1"/>
  <c r="AO36" i="1"/>
  <c r="AO42" i="1"/>
  <c r="AO39" i="1"/>
  <c r="AO46" i="1"/>
  <c r="AO40" i="1"/>
  <c r="AO43" i="1"/>
  <c r="AO34" i="1"/>
  <c r="AO41" i="1"/>
  <c r="AO44" i="1"/>
  <c r="AO38" i="1"/>
  <c r="AO45" i="1"/>
  <c r="AO55" i="1"/>
  <c r="AO59" i="1"/>
  <c r="AO56" i="1"/>
  <c r="AO60" i="1"/>
  <c r="AO51" i="1"/>
  <c r="AO57" i="1"/>
  <c r="AO53" i="1"/>
  <c r="AO58" i="1"/>
  <c r="AO62" i="1"/>
  <c r="AO63" i="1"/>
  <c r="AO65" i="1"/>
  <c r="AO69" i="1"/>
  <c r="AO66" i="1"/>
  <c r="AO67" i="1"/>
  <c r="AO71" i="1"/>
  <c r="AO64" i="1"/>
  <c r="AO73" i="1"/>
  <c r="AO68" i="1"/>
  <c r="AO74" i="1"/>
  <c r="AO70" i="1"/>
  <c r="AO75" i="1"/>
  <c r="AO72" i="1"/>
  <c r="AO77" i="1"/>
  <c r="AO81" i="1"/>
  <c r="AO78" i="1"/>
  <c r="AO82" i="1"/>
  <c r="AO79" i="1"/>
  <c r="AO83" i="1"/>
  <c r="AO61" i="1"/>
  <c r="AO80" i="1"/>
  <c r="AO86" i="1"/>
  <c r="AO90" i="1"/>
  <c r="AO94" i="1"/>
  <c r="AO98" i="1"/>
  <c r="AO76" i="1"/>
  <c r="AO87" i="1"/>
  <c r="AO91" i="1"/>
  <c r="AO95" i="1"/>
  <c r="AO99" i="1"/>
  <c r="AO84" i="1"/>
  <c r="AO88" i="1"/>
  <c r="AO92" i="1"/>
  <c r="AO101" i="1"/>
  <c r="AO105" i="1"/>
  <c r="AO109" i="1"/>
  <c r="AO113" i="1"/>
  <c r="AO93" i="1"/>
  <c r="AO96" i="1"/>
  <c r="AO102" i="1"/>
  <c r="AO106" i="1"/>
  <c r="AO110" i="1"/>
  <c r="AO114" i="1"/>
  <c r="AO89" i="1"/>
  <c r="AO97" i="1"/>
  <c r="AO103" i="1"/>
  <c r="AO107" i="1"/>
  <c r="AO111" i="1"/>
  <c r="AO115" i="1"/>
  <c r="AO112" i="1"/>
  <c r="AO119" i="1"/>
  <c r="AO123" i="1"/>
  <c r="AO127" i="1"/>
  <c r="AO131" i="1"/>
  <c r="AO85" i="1"/>
  <c r="AO108" i="1"/>
  <c r="AO116" i="1"/>
  <c r="AO120" i="1"/>
  <c r="AO124" i="1"/>
  <c r="AO128" i="1"/>
  <c r="AO118" i="1"/>
  <c r="AO130" i="1"/>
  <c r="AO104" i="1"/>
  <c r="AO117" i="1"/>
  <c r="AO121" i="1"/>
  <c r="AO125" i="1"/>
  <c r="AO129" i="1"/>
  <c r="AO100" i="1"/>
  <c r="AO122" i="1"/>
  <c r="AO126" i="1"/>
  <c r="AO52" i="1"/>
  <c r="AO54" i="1"/>
  <c r="AO50" i="1"/>
  <c r="AO139" i="1"/>
  <c r="AO137" i="1"/>
  <c r="AO138" i="1"/>
  <c r="AO135" i="1"/>
  <c r="AO136" i="1"/>
  <c r="AN195" i="1"/>
  <c r="AN196" i="1"/>
  <c r="AN194" i="1"/>
  <c r="AN187" i="1" s="1"/>
  <c r="AO134" i="1"/>
  <c r="AO49" i="1"/>
  <c r="AO132" i="1"/>
  <c r="AO133" i="1"/>
  <c r="AO47" i="1"/>
  <c r="AO19" i="1"/>
  <c r="AO20" i="1"/>
  <c r="AO48" i="1"/>
  <c r="AO21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3" i="1"/>
  <c r="AM154" i="1"/>
  <c r="AM152" i="1"/>
  <c r="AM151" i="1"/>
  <c r="AM150" i="1"/>
  <c r="AM149" i="1"/>
  <c r="AM148" i="1"/>
  <c r="AM190" i="1"/>
  <c r="AM186" i="1"/>
  <c r="AM191" i="1"/>
  <c r="AM187" i="1"/>
  <c r="AM188" i="1"/>
  <c r="AM192" i="1"/>
  <c r="AM189" i="1"/>
  <c r="AM185" i="1"/>
  <c r="AM184" i="1"/>
  <c r="AM180" i="1"/>
  <c r="AM181" i="1"/>
  <c r="AM183" i="1"/>
  <c r="AM182" i="1"/>
  <c r="AM178" i="1"/>
  <c r="AM179" i="1"/>
  <c r="AM175" i="1"/>
  <c r="AM171" i="1"/>
  <c r="AM177" i="1"/>
  <c r="AM173" i="1"/>
  <c r="AM169" i="1"/>
  <c r="AM176" i="1"/>
  <c r="AM174" i="1"/>
  <c r="AM170" i="1"/>
  <c r="AM172" i="1"/>
  <c r="AP16" i="1"/>
  <c r="AO193" i="1"/>
  <c r="AP25" i="1" l="1"/>
  <c r="AP26" i="1"/>
  <c r="AP28" i="1"/>
  <c r="AP32" i="1"/>
  <c r="AP23" i="1"/>
  <c r="AP27" i="1"/>
  <c r="AP24" i="1"/>
  <c r="AP30" i="1"/>
  <c r="AP31" i="1"/>
  <c r="AP34" i="1"/>
  <c r="AP29" i="1"/>
  <c r="AP36" i="1"/>
  <c r="AP45" i="1"/>
  <c r="AP33" i="1"/>
  <c r="AP38" i="1"/>
  <c r="AP42" i="1"/>
  <c r="AP46" i="1"/>
  <c r="AP39" i="1"/>
  <c r="AP43" i="1"/>
  <c r="AP35" i="1"/>
  <c r="AP37" i="1"/>
  <c r="AP40" i="1"/>
  <c r="AP44" i="1"/>
  <c r="AP41" i="1"/>
  <c r="AP59" i="1"/>
  <c r="AP51" i="1"/>
  <c r="AP56" i="1"/>
  <c r="AP60" i="1"/>
  <c r="AP53" i="1"/>
  <c r="AP57" i="1"/>
  <c r="AP55" i="1"/>
  <c r="AP58" i="1"/>
  <c r="AP62" i="1"/>
  <c r="AP65" i="1"/>
  <c r="AP61" i="1"/>
  <c r="AP66" i="1"/>
  <c r="AP63" i="1"/>
  <c r="AP67" i="1"/>
  <c r="AP69" i="1"/>
  <c r="AP73" i="1"/>
  <c r="AP64" i="1"/>
  <c r="AP70" i="1"/>
  <c r="AP74" i="1"/>
  <c r="AP71" i="1"/>
  <c r="AP75" i="1"/>
  <c r="AP77" i="1"/>
  <c r="AP81" i="1"/>
  <c r="AP72" i="1"/>
  <c r="AP78" i="1"/>
  <c r="AP82" i="1"/>
  <c r="AP68" i="1"/>
  <c r="AP79" i="1"/>
  <c r="AP83" i="1"/>
  <c r="AP86" i="1"/>
  <c r="AP90" i="1"/>
  <c r="AP94" i="1"/>
  <c r="AP98" i="1"/>
  <c r="AP80" i="1"/>
  <c r="AP87" i="1"/>
  <c r="AP91" i="1"/>
  <c r="AP95" i="1"/>
  <c r="AP99" i="1"/>
  <c r="AP76" i="1"/>
  <c r="AP84" i="1"/>
  <c r="AP88" i="1"/>
  <c r="AP92" i="1"/>
  <c r="AP85" i="1"/>
  <c r="AP97" i="1"/>
  <c r="AP101" i="1"/>
  <c r="AP105" i="1"/>
  <c r="AP109" i="1"/>
  <c r="AP113" i="1"/>
  <c r="AP102" i="1"/>
  <c r="AP106" i="1"/>
  <c r="AP110" i="1"/>
  <c r="AP93" i="1"/>
  <c r="AP103" i="1"/>
  <c r="AP107" i="1"/>
  <c r="AP111" i="1"/>
  <c r="AP115" i="1"/>
  <c r="AP89" i="1"/>
  <c r="AP100" i="1"/>
  <c r="AP119" i="1"/>
  <c r="AP123" i="1"/>
  <c r="AP127" i="1"/>
  <c r="AP131" i="1"/>
  <c r="AP118" i="1"/>
  <c r="AP126" i="1"/>
  <c r="AP130" i="1"/>
  <c r="AP96" i="1"/>
  <c r="AP112" i="1"/>
  <c r="AP116" i="1"/>
  <c r="AP120" i="1"/>
  <c r="AP124" i="1"/>
  <c r="AP128" i="1"/>
  <c r="AP122" i="1"/>
  <c r="AP108" i="1"/>
  <c r="AP114" i="1"/>
  <c r="AP117" i="1"/>
  <c r="AP121" i="1"/>
  <c r="AP125" i="1"/>
  <c r="AP129" i="1"/>
  <c r="AP104" i="1"/>
  <c r="AP52" i="1"/>
  <c r="AP54" i="1"/>
  <c r="AP50" i="1"/>
  <c r="AP137" i="1"/>
  <c r="AP138" i="1"/>
  <c r="AP139" i="1"/>
  <c r="AP136" i="1"/>
  <c r="AP135" i="1"/>
  <c r="AO195" i="1"/>
  <c r="AO196" i="1"/>
  <c r="AO194" i="1"/>
  <c r="AO167" i="1" s="1"/>
  <c r="AP132" i="1"/>
  <c r="AP133" i="1"/>
  <c r="AP47" i="1"/>
  <c r="AP48" i="1"/>
  <c r="AP19" i="1"/>
  <c r="AP134" i="1"/>
  <c r="AP20" i="1"/>
  <c r="AP49" i="1"/>
  <c r="AP21" i="1"/>
  <c r="AN172" i="1"/>
  <c r="AN181" i="1"/>
  <c r="AN185" i="1"/>
  <c r="AN173" i="1"/>
  <c r="AN184" i="1"/>
  <c r="AN171" i="1"/>
  <c r="AN178" i="1"/>
  <c r="AN186" i="1"/>
  <c r="AN188" i="1"/>
  <c r="AN175" i="1"/>
  <c r="AN169" i="1"/>
  <c r="AN170" i="1"/>
  <c r="AN176" i="1"/>
  <c r="AN179" i="1"/>
  <c r="AN190" i="1"/>
  <c r="AN183" i="1"/>
  <c r="AN177" i="1"/>
  <c r="AN174" i="1"/>
  <c r="AN180" i="1"/>
  <c r="AN182" i="1"/>
  <c r="AN189" i="1"/>
  <c r="AN191" i="1"/>
  <c r="AN192" i="1"/>
  <c r="AN168" i="1"/>
  <c r="AN167" i="1"/>
  <c r="AN166" i="1"/>
  <c r="AN165" i="1"/>
  <c r="AN164" i="1"/>
  <c r="AN163" i="1"/>
  <c r="AN162" i="1"/>
  <c r="AN161" i="1"/>
  <c r="AN160" i="1"/>
  <c r="AN159" i="1"/>
  <c r="AN158" i="1"/>
  <c r="AN157" i="1"/>
  <c r="AN156" i="1"/>
  <c r="AN154" i="1"/>
  <c r="AN155" i="1"/>
  <c r="AN153" i="1"/>
  <c r="AN152" i="1"/>
  <c r="AN151" i="1"/>
  <c r="AN150" i="1"/>
  <c r="AN149" i="1"/>
  <c r="AN148" i="1"/>
  <c r="AQ16" i="1"/>
  <c r="AP193" i="1"/>
  <c r="AQ24" i="1" l="1"/>
  <c r="AQ25" i="1"/>
  <c r="AQ31" i="1"/>
  <c r="AQ26" i="1"/>
  <c r="AQ23" i="1"/>
  <c r="AQ27" i="1"/>
  <c r="AQ29" i="1"/>
  <c r="AQ28" i="1"/>
  <c r="AQ33" i="1"/>
  <c r="AQ37" i="1"/>
  <c r="AQ30" i="1"/>
  <c r="AQ32" i="1"/>
  <c r="AQ35" i="1"/>
  <c r="AQ34" i="1"/>
  <c r="AQ40" i="1"/>
  <c r="AQ36" i="1"/>
  <c r="AQ41" i="1"/>
  <c r="AQ46" i="1"/>
  <c r="AQ42" i="1"/>
  <c r="AQ38" i="1"/>
  <c r="AQ43" i="1"/>
  <c r="AQ39" i="1"/>
  <c r="AQ44" i="1"/>
  <c r="AQ45" i="1"/>
  <c r="AQ51" i="1"/>
  <c r="AQ59" i="1"/>
  <c r="AQ53" i="1"/>
  <c r="AQ56" i="1"/>
  <c r="AQ60" i="1"/>
  <c r="AQ55" i="1"/>
  <c r="AQ57" i="1"/>
  <c r="AQ58" i="1"/>
  <c r="AQ62" i="1"/>
  <c r="AQ63" i="1"/>
  <c r="AQ65" i="1"/>
  <c r="AQ66" i="1"/>
  <c r="AQ67" i="1"/>
  <c r="AQ61" i="1"/>
  <c r="AQ69" i="1"/>
  <c r="AQ73" i="1"/>
  <c r="AQ70" i="1"/>
  <c r="AQ74" i="1"/>
  <c r="AQ64" i="1"/>
  <c r="AQ71" i="1"/>
  <c r="AQ75" i="1"/>
  <c r="AQ77" i="1"/>
  <c r="AQ81" i="1"/>
  <c r="AQ78" i="1"/>
  <c r="AQ82" i="1"/>
  <c r="AQ72" i="1"/>
  <c r="AQ79" i="1"/>
  <c r="AQ83" i="1"/>
  <c r="AQ86" i="1"/>
  <c r="AQ90" i="1"/>
  <c r="AQ94" i="1"/>
  <c r="AQ98" i="1"/>
  <c r="AQ68" i="1"/>
  <c r="AQ87" i="1"/>
  <c r="AQ91" i="1"/>
  <c r="AQ95" i="1"/>
  <c r="AQ99" i="1"/>
  <c r="AQ80" i="1"/>
  <c r="AQ84" i="1"/>
  <c r="AQ88" i="1"/>
  <c r="AQ92" i="1"/>
  <c r="AQ89" i="1"/>
  <c r="AQ101" i="1"/>
  <c r="AQ105" i="1"/>
  <c r="AQ109" i="1"/>
  <c r="AQ113" i="1"/>
  <c r="AQ85" i="1"/>
  <c r="AQ96" i="1"/>
  <c r="AQ102" i="1"/>
  <c r="AQ106" i="1"/>
  <c r="AQ110" i="1"/>
  <c r="AQ97" i="1"/>
  <c r="AQ103" i="1"/>
  <c r="AQ107" i="1"/>
  <c r="AQ111" i="1"/>
  <c r="AQ115" i="1"/>
  <c r="AQ104" i="1"/>
  <c r="AQ114" i="1"/>
  <c r="AQ119" i="1"/>
  <c r="AQ123" i="1"/>
  <c r="AQ127" i="1"/>
  <c r="AQ131" i="1"/>
  <c r="AQ108" i="1"/>
  <c r="AQ112" i="1"/>
  <c r="AQ122" i="1"/>
  <c r="AQ76" i="1"/>
  <c r="AQ93" i="1"/>
  <c r="AQ100" i="1"/>
  <c r="AQ116" i="1"/>
  <c r="AQ120" i="1"/>
  <c r="AQ124" i="1"/>
  <c r="AQ128" i="1"/>
  <c r="AQ126" i="1"/>
  <c r="AQ117" i="1"/>
  <c r="AQ121" i="1"/>
  <c r="AQ125" i="1"/>
  <c r="AQ129" i="1"/>
  <c r="AQ118" i="1"/>
  <c r="AQ130" i="1"/>
  <c r="AQ50" i="1"/>
  <c r="AQ52" i="1"/>
  <c r="AQ54" i="1"/>
  <c r="AQ139" i="1"/>
  <c r="AQ137" i="1"/>
  <c r="AQ138" i="1"/>
  <c r="AQ135" i="1"/>
  <c r="AQ136" i="1"/>
  <c r="AP196" i="1"/>
  <c r="AQ134" i="1"/>
  <c r="AQ133" i="1"/>
  <c r="AQ47" i="1"/>
  <c r="AQ48" i="1"/>
  <c r="AQ49" i="1"/>
  <c r="AQ20" i="1"/>
  <c r="AQ132" i="1"/>
  <c r="AQ21" i="1"/>
  <c r="AQ19" i="1"/>
  <c r="AP195" i="1"/>
  <c r="AP194" i="1"/>
  <c r="AP168" i="1" s="1"/>
  <c r="AO186" i="1"/>
  <c r="AO157" i="1"/>
  <c r="AO172" i="1"/>
  <c r="AO181" i="1"/>
  <c r="AO165" i="1"/>
  <c r="AO148" i="1"/>
  <c r="AO171" i="1"/>
  <c r="AO180" i="1"/>
  <c r="AO185" i="1"/>
  <c r="AO151" i="1"/>
  <c r="AO158" i="1"/>
  <c r="AO168" i="1"/>
  <c r="AO192" i="1"/>
  <c r="AO162" i="1"/>
  <c r="AO173" i="1"/>
  <c r="AO178" i="1"/>
  <c r="AO153" i="1"/>
  <c r="AO179" i="1"/>
  <c r="AO187" i="1"/>
  <c r="AO188" i="1"/>
  <c r="AO155" i="1"/>
  <c r="AO163" i="1"/>
  <c r="AO170" i="1"/>
  <c r="AO175" i="1"/>
  <c r="AO176" i="1"/>
  <c r="AO182" i="1"/>
  <c r="AO190" i="1"/>
  <c r="AO184" i="1"/>
  <c r="AO150" i="1"/>
  <c r="AO154" i="1"/>
  <c r="AO159" i="1"/>
  <c r="AO161" i="1"/>
  <c r="AO166" i="1"/>
  <c r="AO174" i="1"/>
  <c r="AO169" i="1"/>
  <c r="AO177" i="1"/>
  <c r="AO183" i="1"/>
  <c r="AO191" i="1"/>
  <c r="AO189" i="1"/>
  <c r="AO149" i="1"/>
  <c r="AO152" i="1"/>
  <c r="AO156" i="1"/>
  <c r="AO160" i="1"/>
  <c r="AO164" i="1"/>
  <c r="AR16" i="1"/>
  <c r="AQ193" i="1"/>
  <c r="AR23" i="1" l="1"/>
  <c r="AR27" i="1"/>
  <c r="AR24" i="1"/>
  <c r="AR30" i="1"/>
  <c r="AR25" i="1"/>
  <c r="AR26" i="1"/>
  <c r="AR28" i="1"/>
  <c r="AR32" i="1"/>
  <c r="AR29" i="1"/>
  <c r="AR31" i="1"/>
  <c r="AR36" i="1"/>
  <c r="AR34" i="1"/>
  <c r="AR37" i="1"/>
  <c r="AR45" i="1"/>
  <c r="AR40" i="1"/>
  <c r="AR46" i="1"/>
  <c r="AR43" i="1"/>
  <c r="AR33" i="1"/>
  <c r="AR41" i="1"/>
  <c r="AR35" i="1"/>
  <c r="AR38" i="1"/>
  <c r="AR42" i="1"/>
  <c r="AR44" i="1"/>
  <c r="AR39" i="1"/>
  <c r="AR53" i="1"/>
  <c r="AR55" i="1"/>
  <c r="AR56" i="1"/>
  <c r="AR60" i="1"/>
  <c r="AR51" i="1"/>
  <c r="AR58" i="1"/>
  <c r="AR62" i="1"/>
  <c r="AR59" i="1"/>
  <c r="AR65" i="1"/>
  <c r="AR61" i="1"/>
  <c r="AR66" i="1"/>
  <c r="AR63" i="1"/>
  <c r="AR67" i="1"/>
  <c r="AR69" i="1"/>
  <c r="AR73" i="1"/>
  <c r="AR70" i="1"/>
  <c r="AR74" i="1"/>
  <c r="AR71" i="1"/>
  <c r="AR75" i="1"/>
  <c r="AR64" i="1"/>
  <c r="AR68" i="1"/>
  <c r="AR77" i="1"/>
  <c r="AR81" i="1"/>
  <c r="AR78" i="1"/>
  <c r="AR82" i="1"/>
  <c r="AR79" i="1"/>
  <c r="AR83" i="1"/>
  <c r="AR76" i="1"/>
  <c r="AR86" i="1"/>
  <c r="AR90" i="1"/>
  <c r="AR94" i="1"/>
  <c r="AR98" i="1"/>
  <c r="AR87" i="1"/>
  <c r="AR91" i="1"/>
  <c r="AR95" i="1"/>
  <c r="AR99" i="1"/>
  <c r="AR72" i="1"/>
  <c r="AR84" i="1"/>
  <c r="AR88" i="1"/>
  <c r="AR92" i="1"/>
  <c r="AR80" i="1"/>
  <c r="AR93" i="1"/>
  <c r="AR97" i="1"/>
  <c r="AR101" i="1"/>
  <c r="AR105" i="1"/>
  <c r="AR109" i="1"/>
  <c r="AR113" i="1"/>
  <c r="AR89" i="1"/>
  <c r="AR102" i="1"/>
  <c r="AR106" i="1"/>
  <c r="AR110" i="1"/>
  <c r="AR85" i="1"/>
  <c r="AR103" i="1"/>
  <c r="AR107" i="1"/>
  <c r="AR111" i="1"/>
  <c r="AR115" i="1"/>
  <c r="AR108" i="1"/>
  <c r="AR119" i="1"/>
  <c r="AR123" i="1"/>
  <c r="AR127" i="1"/>
  <c r="AR131" i="1"/>
  <c r="AR57" i="1"/>
  <c r="AR104" i="1"/>
  <c r="AR112" i="1"/>
  <c r="AR116" i="1"/>
  <c r="AR120" i="1"/>
  <c r="AR124" i="1"/>
  <c r="AR128" i="1"/>
  <c r="AR118" i="1"/>
  <c r="AR130" i="1"/>
  <c r="AR96" i="1"/>
  <c r="AR100" i="1"/>
  <c r="AR114" i="1"/>
  <c r="AR117" i="1"/>
  <c r="AR121" i="1"/>
  <c r="AR125" i="1"/>
  <c r="AR129" i="1"/>
  <c r="AR122" i="1"/>
  <c r="AR126" i="1"/>
  <c r="AR52" i="1"/>
  <c r="AR54" i="1"/>
  <c r="AR50" i="1"/>
  <c r="AR137" i="1"/>
  <c r="AR138" i="1"/>
  <c r="AR139" i="1"/>
  <c r="AR135" i="1"/>
  <c r="AR136" i="1"/>
  <c r="AQ196" i="1"/>
  <c r="AQ195" i="1"/>
  <c r="AR48" i="1"/>
  <c r="AR49" i="1"/>
  <c r="AR134" i="1"/>
  <c r="AR132" i="1"/>
  <c r="AR133" i="1"/>
  <c r="AR21" i="1"/>
  <c r="AR19" i="1"/>
  <c r="AR47" i="1"/>
  <c r="AR20" i="1"/>
  <c r="AQ194" i="1"/>
  <c r="AP188" i="1"/>
  <c r="AP171" i="1"/>
  <c r="AP149" i="1"/>
  <c r="AP172" i="1"/>
  <c r="AP159" i="1"/>
  <c r="AP178" i="1"/>
  <c r="AP173" i="1"/>
  <c r="AP177" i="1"/>
  <c r="AP191" i="1"/>
  <c r="AP151" i="1"/>
  <c r="AP162" i="1"/>
  <c r="AP180" i="1"/>
  <c r="AP190" i="1"/>
  <c r="AP153" i="1"/>
  <c r="AP167" i="1"/>
  <c r="AP170" i="1"/>
  <c r="AP183" i="1"/>
  <c r="AP189" i="1"/>
  <c r="AP156" i="1"/>
  <c r="AP164" i="1"/>
  <c r="AP150" i="1"/>
  <c r="AP158" i="1"/>
  <c r="AP166" i="1"/>
  <c r="AP169" i="1"/>
  <c r="AP176" i="1"/>
  <c r="AP182" i="1"/>
  <c r="AP179" i="1"/>
  <c r="AP187" i="1"/>
  <c r="AP185" i="1"/>
  <c r="AP148" i="1"/>
  <c r="AP154" i="1"/>
  <c r="AP157" i="1"/>
  <c r="AP161" i="1"/>
  <c r="AP165" i="1"/>
  <c r="AP175" i="1"/>
  <c r="AP174" i="1"/>
  <c r="AP181" i="1"/>
  <c r="AP184" i="1"/>
  <c r="AP186" i="1"/>
  <c r="AP192" i="1"/>
  <c r="AP152" i="1"/>
  <c r="AP155" i="1"/>
  <c r="AP160" i="1"/>
  <c r="AP163" i="1"/>
  <c r="AS16" i="1"/>
  <c r="AR193" i="1"/>
  <c r="AS26" i="1" l="1"/>
  <c r="AS23" i="1"/>
  <c r="AS27" i="1"/>
  <c r="AS29" i="1"/>
  <c r="AS24" i="1"/>
  <c r="AS25" i="1"/>
  <c r="AS31" i="1"/>
  <c r="AS32" i="1"/>
  <c r="AS35" i="1"/>
  <c r="AS28" i="1"/>
  <c r="AS30" i="1"/>
  <c r="AS33" i="1"/>
  <c r="AS37" i="1"/>
  <c r="AS42" i="1"/>
  <c r="AS34" i="1"/>
  <c r="AS39" i="1"/>
  <c r="AS46" i="1"/>
  <c r="AS40" i="1"/>
  <c r="AS43" i="1"/>
  <c r="AS36" i="1"/>
  <c r="AS41" i="1"/>
  <c r="AS44" i="1"/>
  <c r="AS38" i="1"/>
  <c r="AS45" i="1"/>
  <c r="AS55" i="1"/>
  <c r="AS56" i="1"/>
  <c r="AS51" i="1"/>
  <c r="AS53" i="1"/>
  <c r="AS58" i="1"/>
  <c r="AS61" i="1"/>
  <c r="AS65" i="1"/>
  <c r="AS57" i="1"/>
  <c r="AS62" i="1"/>
  <c r="AS66" i="1"/>
  <c r="AS59" i="1"/>
  <c r="AS63" i="1"/>
  <c r="AS67" i="1"/>
  <c r="AS64" i="1"/>
  <c r="AS69" i="1"/>
  <c r="AS73" i="1"/>
  <c r="AS60" i="1"/>
  <c r="AS70" i="1"/>
  <c r="AS74" i="1"/>
  <c r="AS71" i="1"/>
  <c r="AS75" i="1"/>
  <c r="AS72" i="1"/>
  <c r="AS77" i="1"/>
  <c r="AS81" i="1"/>
  <c r="AS68" i="1"/>
  <c r="AS78" i="1"/>
  <c r="AS82" i="1"/>
  <c r="AS79" i="1"/>
  <c r="AS83" i="1"/>
  <c r="AS80" i="1"/>
  <c r="AS86" i="1"/>
  <c r="AS90" i="1"/>
  <c r="AS94" i="1"/>
  <c r="AS98" i="1"/>
  <c r="AS76" i="1"/>
  <c r="AS87" i="1"/>
  <c r="AS91" i="1"/>
  <c r="AS95" i="1"/>
  <c r="AS99" i="1"/>
  <c r="AS84" i="1"/>
  <c r="AS88" i="1"/>
  <c r="AS92" i="1"/>
  <c r="AS101" i="1"/>
  <c r="AS105" i="1"/>
  <c r="AS109" i="1"/>
  <c r="AS113" i="1"/>
  <c r="AS93" i="1"/>
  <c r="AS96" i="1"/>
  <c r="AS102" i="1"/>
  <c r="AS106" i="1"/>
  <c r="AS110" i="1"/>
  <c r="AS89" i="1"/>
  <c r="AS97" i="1"/>
  <c r="AS103" i="1"/>
  <c r="AS107" i="1"/>
  <c r="AS111" i="1"/>
  <c r="AS115" i="1"/>
  <c r="AS85" i="1"/>
  <c r="AS114" i="1"/>
  <c r="AS119" i="1"/>
  <c r="AS123" i="1"/>
  <c r="AS127" i="1"/>
  <c r="AS131" i="1"/>
  <c r="AS100" i="1"/>
  <c r="AS118" i="1"/>
  <c r="AS126" i="1"/>
  <c r="AS108" i="1"/>
  <c r="AS116" i="1"/>
  <c r="AS120" i="1"/>
  <c r="AS124" i="1"/>
  <c r="AS128" i="1"/>
  <c r="AS112" i="1"/>
  <c r="AS122" i="1"/>
  <c r="AS104" i="1"/>
  <c r="AS117" i="1"/>
  <c r="AS121" i="1"/>
  <c r="AS125" i="1"/>
  <c r="AS129" i="1"/>
  <c r="AS130" i="1"/>
  <c r="AS54" i="1"/>
  <c r="AS50" i="1"/>
  <c r="AS52" i="1"/>
  <c r="AS139" i="1"/>
  <c r="AS137" i="1"/>
  <c r="AS138" i="1"/>
  <c r="AS135" i="1"/>
  <c r="AS136" i="1"/>
  <c r="AR195" i="1"/>
  <c r="AR194" i="1"/>
  <c r="AR196" i="1"/>
  <c r="AS49" i="1"/>
  <c r="AS134" i="1"/>
  <c r="AS132" i="1"/>
  <c r="AS133" i="1"/>
  <c r="AS47" i="1"/>
  <c r="AS19" i="1"/>
  <c r="AS48" i="1"/>
  <c r="AS20" i="1"/>
  <c r="AS21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1" i="1"/>
  <c r="AQ152" i="1"/>
  <c r="AQ150" i="1"/>
  <c r="AQ148" i="1"/>
  <c r="AQ149" i="1"/>
  <c r="AQ190" i="1"/>
  <c r="AQ186" i="1"/>
  <c r="AQ191" i="1"/>
  <c r="AQ187" i="1"/>
  <c r="AQ188" i="1"/>
  <c r="AQ192" i="1"/>
  <c r="AQ189" i="1"/>
  <c r="AQ185" i="1"/>
  <c r="AQ180" i="1"/>
  <c r="AQ181" i="1"/>
  <c r="AQ182" i="1"/>
  <c r="AQ178" i="1"/>
  <c r="AQ184" i="1"/>
  <c r="AQ183" i="1"/>
  <c r="AQ179" i="1"/>
  <c r="AQ175" i="1"/>
  <c r="AQ177" i="1"/>
  <c r="AQ171" i="1"/>
  <c r="AQ173" i="1"/>
  <c r="AQ169" i="1"/>
  <c r="AQ170" i="1"/>
  <c r="AQ172" i="1"/>
  <c r="AQ174" i="1"/>
  <c r="AQ176" i="1"/>
  <c r="AT16" i="1"/>
  <c r="AS193" i="1"/>
  <c r="AT25" i="1" l="1"/>
  <c r="AT26" i="1"/>
  <c r="AT28" i="1"/>
  <c r="AT32" i="1"/>
  <c r="AT23" i="1"/>
  <c r="AT27" i="1"/>
  <c r="AT24" i="1"/>
  <c r="AT30" i="1"/>
  <c r="AT29" i="1"/>
  <c r="AT34" i="1"/>
  <c r="AT31" i="1"/>
  <c r="AT36" i="1"/>
  <c r="AT35" i="1"/>
  <c r="AT45" i="1"/>
  <c r="AT37" i="1"/>
  <c r="AT38" i="1"/>
  <c r="AT42" i="1"/>
  <c r="AT46" i="1"/>
  <c r="AT39" i="1"/>
  <c r="AT43" i="1"/>
  <c r="AT33" i="1"/>
  <c r="AT40" i="1"/>
  <c r="AT44" i="1"/>
  <c r="AT41" i="1"/>
  <c r="AT51" i="1"/>
  <c r="AT56" i="1"/>
  <c r="AT53" i="1"/>
  <c r="AT55" i="1"/>
  <c r="AT58" i="1"/>
  <c r="AT59" i="1"/>
  <c r="AT61" i="1"/>
  <c r="AT65" i="1"/>
  <c r="AT62" i="1"/>
  <c r="AT66" i="1"/>
  <c r="AT63" i="1"/>
  <c r="AT67" i="1"/>
  <c r="AT57" i="1"/>
  <c r="AT69" i="1"/>
  <c r="AT73" i="1"/>
  <c r="AT64" i="1"/>
  <c r="AT70" i="1"/>
  <c r="AT74" i="1"/>
  <c r="AT60" i="1"/>
  <c r="AT71" i="1"/>
  <c r="AT75" i="1"/>
  <c r="AT77" i="1"/>
  <c r="AT81" i="1"/>
  <c r="AT72" i="1"/>
  <c r="AT78" i="1"/>
  <c r="AT82" i="1"/>
  <c r="AT68" i="1"/>
  <c r="AT79" i="1"/>
  <c r="AT83" i="1"/>
  <c r="AT86" i="1"/>
  <c r="AT90" i="1"/>
  <c r="AT94" i="1"/>
  <c r="AT98" i="1"/>
  <c r="AT80" i="1"/>
  <c r="AT87" i="1"/>
  <c r="AT91" i="1"/>
  <c r="AT95" i="1"/>
  <c r="AT99" i="1"/>
  <c r="AT76" i="1"/>
  <c r="AT84" i="1"/>
  <c r="AT88" i="1"/>
  <c r="AT92" i="1"/>
  <c r="AT85" i="1"/>
  <c r="AT97" i="1"/>
  <c r="AT101" i="1"/>
  <c r="AT105" i="1"/>
  <c r="AT109" i="1"/>
  <c r="AT113" i="1"/>
  <c r="AT102" i="1"/>
  <c r="AT106" i="1"/>
  <c r="AT110" i="1"/>
  <c r="AT93" i="1"/>
  <c r="AT103" i="1"/>
  <c r="AT107" i="1"/>
  <c r="AT111" i="1"/>
  <c r="AT115" i="1"/>
  <c r="AT100" i="1"/>
  <c r="AT119" i="1"/>
  <c r="AT123" i="1"/>
  <c r="AT127" i="1"/>
  <c r="AT131" i="1"/>
  <c r="AT104" i="1"/>
  <c r="AT122" i="1"/>
  <c r="AT130" i="1"/>
  <c r="AT89" i="1"/>
  <c r="AT112" i="1"/>
  <c r="AT116" i="1"/>
  <c r="AT120" i="1"/>
  <c r="AT124" i="1"/>
  <c r="AT128" i="1"/>
  <c r="AT126" i="1"/>
  <c r="AT108" i="1"/>
  <c r="AT114" i="1"/>
  <c r="AT117" i="1"/>
  <c r="AT121" i="1"/>
  <c r="AT125" i="1"/>
  <c r="AT129" i="1"/>
  <c r="AT96" i="1"/>
  <c r="AT118" i="1"/>
  <c r="AT52" i="1"/>
  <c r="AT54" i="1"/>
  <c r="AT50" i="1"/>
  <c r="AT137" i="1"/>
  <c r="AT138" i="1"/>
  <c r="AT139" i="1"/>
  <c r="AT136" i="1"/>
  <c r="AT135" i="1"/>
  <c r="AS196" i="1"/>
  <c r="AT134" i="1"/>
  <c r="AT132" i="1"/>
  <c r="AT133" i="1"/>
  <c r="AT47" i="1"/>
  <c r="AT48" i="1"/>
  <c r="AT19" i="1"/>
  <c r="AT49" i="1"/>
  <c r="AT20" i="1"/>
  <c r="AT21" i="1"/>
  <c r="AS195" i="1"/>
  <c r="AS194" i="1"/>
  <c r="AR167" i="1"/>
  <c r="AR168" i="1"/>
  <c r="AR166" i="1"/>
  <c r="AR165" i="1"/>
  <c r="AR163" i="1"/>
  <c r="AR164" i="1"/>
  <c r="AR161" i="1"/>
  <c r="AR162" i="1"/>
  <c r="AR160" i="1"/>
  <c r="AR158" i="1"/>
  <c r="AR159" i="1"/>
  <c r="AR156" i="1"/>
  <c r="AR157" i="1"/>
  <c r="AR155" i="1"/>
  <c r="AR153" i="1"/>
  <c r="AR154" i="1"/>
  <c r="AR152" i="1"/>
  <c r="AR151" i="1"/>
  <c r="AR150" i="1"/>
  <c r="AR148" i="1"/>
  <c r="AR149" i="1"/>
  <c r="AU16" i="1"/>
  <c r="AT193" i="1"/>
  <c r="AR191" i="1"/>
  <c r="AR187" i="1"/>
  <c r="AR183" i="1"/>
  <c r="AR188" i="1"/>
  <c r="AR184" i="1"/>
  <c r="AR192" i="1"/>
  <c r="AR189" i="1"/>
  <c r="AR190" i="1"/>
  <c r="AR186" i="1"/>
  <c r="AR181" i="1"/>
  <c r="AR182" i="1"/>
  <c r="AR185" i="1"/>
  <c r="AR179" i="1"/>
  <c r="AR175" i="1"/>
  <c r="AR180" i="1"/>
  <c r="AR176" i="1"/>
  <c r="AR172" i="1"/>
  <c r="AR174" i="1"/>
  <c r="AR170" i="1"/>
  <c r="AR178" i="1"/>
  <c r="AR169" i="1"/>
  <c r="AR177" i="1"/>
  <c r="AR171" i="1"/>
  <c r="AR173" i="1"/>
  <c r="AU24" i="1" l="1"/>
  <c r="AU25" i="1"/>
  <c r="AU31" i="1"/>
  <c r="AU26" i="1"/>
  <c r="AU23" i="1"/>
  <c r="AU27" i="1"/>
  <c r="AU29" i="1"/>
  <c r="AU30" i="1"/>
  <c r="AU32" i="1"/>
  <c r="AU33" i="1"/>
  <c r="AU37" i="1"/>
  <c r="AU28" i="1"/>
  <c r="AU35" i="1"/>
  <c r="AU40" i="1"/>
  <c r="AU41" i="1"/>
  <c r="AU46" i="1"/>
  <c r="AU38" i="1"/>
  <c r="AU43" i="1"/>
  <c r="AU34" i="1"/>
  <c r="AU42" i="1"/>
  <c r="AU36" i="1"/>
  <c r="AU39" i="1"/>
  <c r="AU44" i="1"/>
  <c r="AU45" i="1"/>
  <c r="AU51" i="1"/>
  <c r="AU53" i="1"/>
  <c r="AU56" i="1"/>
  <c r="AU55" i="1"/>
  <c r="AU58" i="1"/>
  <c r="AU61" i="1"/>
  <c r="AU65" i="1"/>
  <c r="AU57" i="1"/>
  <c r="AU62" i="1"/>
  <c r="AU66" i="1"/>
  <c r="AU59" i="1"/>
  <c r="AU63" i="1"/>
  <c r="AU67" i="1"/>
  <c r="AU69" i="1"/>
  <c r="AU73" i="1"/>
  <c r="AU70" i="1"/>
  <c r="AU74" i="1"/>
  <c r="AU64" i="1"/>
  <c r="AU71" i="1"/>
  <c r="AU75" i="1"/>
  <c r="AU60" i="1"/>
  <c r="AU77" i="1"/>
  <c r="AU81" i="1"/>
  <c r="AU78" i="1"/>
  <c r="AU82" i="1"/>
  <c r="AU72" i="1"/>
  <c r="AU79" i="1"/>
  <c r="AU83" i="1"/>
  <c r="AU86" i="1"/>
  <c r="AU90" i="1"/>
  <c r="AU94" i="1"/>
  <c r="AU98" i="1"/>
  <c r="AU87" i="1"/>
  <c r="AU91" i="1"/>
  <c r="AU95" i="1"/>
  <c r="AU99" i="1"/>
  <c r="AU68" i="1"/>
  <c r="AU80" i="1"/>
  <c r="AU84" i="1"/>
  <c r="AU88" i="1"/>
  <c r="AU92" i="1"/>
  <c r="AU76" i="1"/>
  <c r="AU89" i="1"/>
  <c r="AU101" i="1"/>
  <c r="AU105" i="1"/>
  <c r="AU109" i="1"/>
  <c r="AU113" i="1"/>
  <c r="AU85" i="1"/>
  <c r="AU96" i="1"/>
  <c r="AU102" i="1"/>
  <c r="AU106" i="1"/>
  <c r="AU110" i="1"/>
  <c r="AU97" i="1"/>
  <c r="AU103" i="1"/>
  <c r="AU107" i="1"/>
  <c r="AU111" i="1"/>
  <c r="AU115" i="1"/>
  <c r="AU104" i="1"/>
  <c r="AU114" i="1"/>
  <c r="AU119" i="1"/>
  <c r="AU123" i="1"/>
  <c r="AU127" i="1"/>
  <c r="AU131" i="1"/>
  <c r="AU100" i="1"/>
  <c r="AU116" i="1"/>
  <c r="AU120" i="1"/>
  <c r="AU124" i="1"/>
  <c r="AU128" i="1"/>
  <c r="AU108" i="1"/>
  <c r="AU118" i="1"/>
  <c r="AU130" i="1"/>
  <c r="AU93" i="1"/>
  <c r="AU117" i="1"/>
  <c r="AU121" i="1"/>
  <c r="AU125" i="1"/>
  <c r="AU129" i="1"/>
  <c r="AU112" i="1"/>
  <c r="AU122" i="1"/>
  <c r="AU126" i="1"/>
  <c r="AU52" i="1"/>
  <c r="AU54" i="1"/>
  <c r="AU50" i="1"/>
  <c r="AU139" i="1"/>
  <c r="AU137" i="1"/>
  <c r="AU138" i="1"/>
  <c r="AU135" i="1"/>
  <c r="AU136" i="1"/>
  <c r="AT195" i="1"/>
  <c r="AU134" i="1"/>
  <c r="AU133" i="1"/>
  <c r="AU47" i="1"/>
  <c r="AU48" i="1"/>
  <c r="AU49" i="1"/>
  <c r="AU132" i="1"/>
  <c r="AU20" i="1"/>
  <c r="AU21" i="1"/>
  <c r="AU19" i="1"/>
  <c r="AT194" i="1"/>
  <c r="AT196" i="1"/>
  <c r="AS168" i="1"/>
  <c r="AS167" i="1"/>
  <c r="AS166" i="1"/>
  <c r="AS165" i="1"/>
  <c r="AS164" i="1"/>
  <c r="AS163" i="1"/>
  <c r="AS162" i="1"/>
  <c r="AS161" i="1"/>
  <c r="AS160" i="1"/>
  <c r="AS159" i="1"/>
  <c r="AS158" i="1"/>
  <c r="AS157" i="1"/>
  <c r="AS156" i="1"/>
  <c r="AS155" i="1"/>
  <c r="AS154" i="1"/>
  <c r="AS153" i="1"/>
  <c r="AS152" i="1"/>
  <c r="AS151" i="1"/>
  <c r="AS150" i="1"/>
  <c r="AS149" i="1"/>
  <c r="AS148" i="1"/>
  <c r="AV16" i="1"/>
  <c r="AU193" i="1"/>
  <c r="AS188" i="1"/>
  <c r="AS184" i="1"/>
  <c r="AS192" i="1"/>
  <c r="AS189" i="1"/>
  <c r="AS185" i="1"/>
  <c r="AS190" i="1"/>
  <c r="AS186" i="1"/>
  <c r="AS191" i="1"/>
  <c r="AS187" i="1"/>
  <c r="AS182" i="1"/>
  <c r="AS178" i="1"/>
  <c r="AS179" i="1"/>
  <c r="AS183" i="1"/>
  <c r="AS180" i="1"/>
  <c r="AS176" i="1"/>
  <c r="AS181" i="1"/>
  <c r="AS177" i="1"/>
  <c r="AS173" i="1"/>
  <c r="AS169" i="1"/>
  <c r="AS175" i="1"/>
  <c r="AS171" i="1"/>
  <c r="AS172" i="1"/>
  <c r="AS174" i="1"/>
  <c r="AS170" i="1"/>
  <c r="AV23" i="1" l="1"/>
  <c r="AV27" i="1"/>
  <c r="AV24" i="1"/>
  <c r="AV30" i="1"/>
  <c r="AV25" i="1"/>
  <c r="AV26" i="1"/>
  <c r="AV28" i="1"/>
  <c r="AV32" i="1"/>
  <c r="AV36" i="1"/>
  <c r="AV29" i="1"/>
  <c r="AV31" i="1"/>
  <c r="AV34" i="1"/>
  <c r="AV33" i="1"/>
  <c r="AV45" i="1"/>
  <c r="AV35" i="1"/>
  <c r="AV40" i="1"/>
  <c r="AV46" i="1"/>
  <c r="AV41" i="1"/>
  <c r="AV37" i="1"/>
  <c r="AV43" i="1"/>
  <c r="AV38" i="1"/>
  <c r="AV42" i="1"/>
  <c r="AV44" i="1"/>
  <c r="AV39" i="1"/>
  <c r="AV53" i="1"/>
  <c r="AV55" i="1"/>
  <c r="AV56" i="1"/>
  <c r="AV51" i="1"/>
  <c r="AV58" i="1"/>
  <c r="AV59" i="1"/>
  <c r="AV61" i="1"/>
  <c r="AV65" i="1"/>
  <c r="AV62" i="1"/>
  <c r="AV66" i="1"/>
  <c r="AV63" i="1"/>
  <c r="AV67" i="1"/>
  <c r="AV60" i="1"/>
  <c r="AV69" i="1"/>
  <c r="AV73" i="1"/>
  <c r="AV57" i="1"/>
  <c r="AV70" i="1"/>
  <c r="AV74" i="1"/>
  <c r="AV71" i="1"/>
  <c r="AV75" i="1"/>
  <c r="AV68" i="1"/>
  <c r="AV77" i="1"/>
  <c r="AV81" i="1"/>
  <c r="AV64" i="1"/>
  <c r="AV78" i="1"/>
  <c r="AV82" i="1"/>
  <c r="AV79" i="1"/>
  <c r="AV83" i="1"/>
  <c r="AV76" i="1"/>
  <c r="AV86" i="1"/>
  <c r="AV90" i="1"/>
  <c r="AV94" i="1"/>
  <c r="AV98" i="1"/>
  <c r="AV87" i="1"/>
  <c r="AV91" i="1"/>
  <c r="AV95" i="1"/>
  <c r="AV99" i="1"/>
  <c r="AV84" i="1"/>
  <c r="AV88" i="1"/>
  <c r="AV92" i="1"/>
  <c r="AV93" i="1"/>
  <c r="AV97" i="1"/>
  <c r="AV101" i="1"/>
  <c r="AV105" i="1"/>
  <c r="AV109" i="1"/>
  <c r="AV113" i="1"/>
  <c r="AV80" i="1"/>
  <c r="AV89" i="1"/>
  <c r="AV102" i="1"/>
  <c r="AV106" i="1"/>
  <c r="AV110" i="1"/>
  <c r="AV85" i="1"/>
  <c r="AV103" i="1"/>
  <c r="AV107" i="1"/>
  <c r="AV111" i="1"/>
  <c r="AV115" i="1"/>
  <c r="AV72" i="1"/>
  <c r="AV96" i="1"/>
  <c r="AV108" i="1"/>
  <c r="AV119" i="1"/>
  <c r="AV123" i="1"/>
  <c r="AV127" i="1"/>
  <c r="AV131" i="1"/>
  <c r="AV126" i="1"/>
  <c r="AV104" i="1"/>
  <c r="AV112" i="1"/>
  <c r="AV116" i="1"/>
  <c r="AV120" i="1"/>
  <c r="AV124" i="1"/>
  <c r="AV128" i="1"/>
  <c r="AV122" i="1"/>
  <c r="AV100" i="1"/>
  <c r="AV114" i="1"/>
  <c r="AV117" i="1"/>
  <c r="AV121" i="1"/>
  <c r="AV125" i="1"/>
  <c r="AV129" i="1"/>
  <c r="AV118" i="1"/>
  <c r="AV130" i="1"/>
  <c r="AV54" i="1"/>
  <c r="AV50" i="1"/>
  <c r="AV52" i="1"/>
  <c r="AV137" i="1"/>
  <c r="AV138" i="1"/>
  <c r="AV139" i="1"/>
  <c r="AV135" i="1"/>
  <c r="AV136" i="1"/>
  <c r="AU194" i="1"/>
  <c r="AU174" i="1" s="1"/>
  <c r="AV48" i="1"/>
  <c r="AV49" i="1"/>
  <c r="AV132" i="1"/>
  <c r="AV134" i="1"/>
  <c r="AV21" i="1"/>
  <c r="AV133" i="1"/>
  <c r="AV47" i="1"/>
  <c r="AV19" i="1"/>
  <c r="AV20" i="1"/>
  <c r="AU196" i="1"/>
  <c r="AT192" i="1"/>
  <c r="AT168" i="1"/>
  <c r="AT167" i="1"/>
  <c r="AT165" i="1"/>
  <c r="AT166" i="1"/>
  <c r="AT164" i="1"/>
  <c r="AT163" i="1"/>
  <c r="AT162" i="1"/>
  <c r="AT161" i="1"/>
  <c r="AT159" i="1"/>
  <c r="AT160" i="1"/>
  <c r="AT158" i="1"/>
  <c r="AT156" i="1"/>
  <c r="AT157" i="1"/>
  <c r="AT155" i="1"/>
  <c r="AT154" i="1"/>
  <c r="AT153" i="1"/>
  <c r="AT151" i="1"/>
  <c r="AT152" i="1"/>
  <c r="AT150" i="1"/>
  <c r="AT148" i="1"/>
  <c r="AT149" i="1"/>
  <c r="AT178" i="1"/>
  <c r="AT180" i="1"/>
  <c r="AT188" i="1"/>
  <c r="AT172" i="1"/>
  <c r="AT190" i="1"/>
  <c r="AT170" i="1"/>
  <c r="AT182" i="1"/>
  <c r="AT183" i="1"/>
  <c r="AT187" i="1"/>
  <c r="AT185" i="1"/>
  <c r="AT173" i="1"/>
  <c r="AT171" i="1"/>
  <c r="AT169" i="1"/>
  <c r="AT176" i="1"/>
  <c r="AT177" i="1"/>
  <c r="AT179" i="1"/>
  <c r="AT191" i="1"/>
  <c r="AT189" i="1"/>
  <c r="AT175" i="1"/>
  <c r="AT174" i="1"/>
  <c r="AT181" i="1"/>
  <c r="AT184" i="1"/>
  <c r="AT186" i="1"/>
  <c r="AW16" i="1"/>
  <c r="AV193" i="1"/>
  <c r="AW26" i="1" l="1"/>
  <c r="AW23" i="1"/>
  <c r="AW27" i="1"/>
  <c r="AW24" i="1"/>
  <c r="AW25" i="1"/>
  <c r="AW28" i="1"/>
  <c r="AW32" i="1"/>
  <c r="AW29" i="1"/>
  <c r="AW35" i="1"/>
  <c r="AW30" i="1"/>
  <c r="AW31" i="1"/>
  <c r="AW33" i="1"/>
  <c r="AW37" i="1"/>
  <c r="AW36" i="1"/>
  <c r="AW42" i="1"/>
  <c r="AW39" i="1"/>
  <c r="AW46" i="1"/>
  <c r="AW43" i="1"/>
  <c r="AW40" i="1"/>
  <c r="AW34" i="1"/>
  <c r="AW41" i="1"/>
  <c r="AW44" i="1"/>
  <c r="AW38" i="1"/>
  <c r="AW45" i="1"/>
  <c r="AW55" i="1"/>
  <c r="AW56" i="1"/>
  <c r="AW51" i="1"/>
  <c r="AW53" i="1"/>
  <c r="AW58" i="1"/>
  <c r="AW61" i="1"/>
  <c r="AW65" i="1"/>
  <c r="AW57" i="1"/>
  <c r="AW62" i="1"/>
  <c r="AW66" i="1"/>
  <c r="AW59" i="1"/>
  <c r="AW63" i="1"/>
  <c r="AW67" i="1"/>
  <c r="AW64" i="1"/>
  <c r="AW69" i="1"/>
  <c r="AW73" i="1"/>
  <c r="AW60" i="1"/>
  <c r="AW70" i="1"/>
  <c r="AW74" i="1"/>
  <c r="AW71" i="1"/>
  <c r="AW75" i="1"/>
  <c r="AW72" i="1"/>
  <c r="AW77" i="1"/>
  <c r="AW81" i="1"/>
  <c r="AW68" i="1"/>
  <c r="AW78" i="1"/>
  <c r="AW82" i="1"/>
  <c r="AW79" i="1"/>
  <c r="AW83" i="1"/>
  <c r="AW80" i="1"/>
  <c r="AW86" i="1"/>
  <c r="AW90" i="1"/>
  <c r="AW94" i="1"/>
  <c r="AW98" i="1"/>
  <c r="AW76" i="1"/>
  <c r="AW87" i="1"/>
  <c r="AW91" i="1"/>
  <c r="AW95" i="1"/>
  <c r="AW99" i="1"/>
  <c r="AW84" i="1"/>
  <c r="AW88" i="1"/>
  <c r="AW92" i="1"/>
  <c r="AW101" i="1"/>
  <c r="AW105" i="1"/>
  <c r="AW109" i="1"/>
  <c r="AW113" i="1"/>
  <c r="AW93" i="1"/>
  <c r="AW96" i="1"/>
  <c r="AW102" i="1"/>
  <c r="AW106" i="1"/>
  <c r="AW110" i="1"/>
  <c r="AW89" i="1"/>
  <c r="AW97" i="1"/>
  <c r="AW103" i="1"/>
  <c r="AW107" i="1"/>
  <c r="AW111" i="1"/>
  <c r="AW115" i="1"/>
  <c r="AW114" i="1"/>
  <c r="AW119" i="1"/>
  <c r="AW123" i="1"/>
  <c r="AW127" i="1"/>
  <c r="AW131" i="1"/>
  <c r="AW128" i="1"/>
  <c r="AW112" i="1"/>
  <c r="AW118" i="1"/>
  <c r="AW130" i="1"/>
  <c r="AW85" i="1"/>
  <c r="AW108" i="1"/>
  <c r="AW116" i="1"/>
  <c r="AW120" i="1"/>
  <c r="AW124" i="1"/>
  <c r="AW126" i="1"/>
  <c r="AW104" i="1"/>
  <c r="AW117" i="1"/>
  <c r="AW121" i="1"/>
  <c r="AW125" i="1"/>
  <c r="AW129" i="1"/>
  <c r="AW100" i="1"/>
  <c r="AW122" i="1"/>
  <c r="AW52" i="1"/>
  <c r="AW54" i="1"/>
  <c r="AW50" i="1"/>
  <c r="AW139" i="1"/>
  <c r="AW137" i="1"/>
  <c r="AW138" i="1"/>
  <c r="AW135" i="1"/>
  <c r="AW136" i="1"/>
  <c r="AW49" i="1"/>
  <c r="AW132" i="1"/>
  <c r="AW134" i="1"/>
  <c r="AW133" i="1"/>
  <c r="AW47" i="1"/>
  <c r="AW48" i="1"/>
  <c r="AW19" i="1"/>
  <c r="AW20" i="1"/>
  <c r="AW21" i="1"/>
  <c r="AV194" i="1"/>
  <c r="AV196" i="1"/>
  <c r="AU176" i="1"/>
  <c r="AU192" i="1"/>
  <c r="AU171" i="1"/>
  <c r="AU186" i="1"/>
  <c r="AU178" i="1"/>
  <c r="AU180" i="1"/>
  <c r="AU195" i="1"/>
  <c r="AU168" i="1"/>
  <c r="AU167" i="1"/>
  <c r="AU166" i="1"/>
  <c r="AU164" i="1"/>
  <c r="AU165" i="1"/>
  <c r="AU162" i="1"/>
  <c r="AU163" i="1"/>
  <c r="AU161" i="1"/>
  <c r="AU159" i="1"/>
  <c r="AU160" i="1"/>
  <c r="AU158" i="1"/>
  <c r="AU157" i="1"/>
  <c r="AU156" i="1"/>
  <c r="AU155" i="1"/>
  <c r="AU153" i="1"/>
  <c r="AU154" i="1"/>
  <c r="AU152" i="1"/>
  <c r="AU151" i="1"/>
  <c r="AU150" i="1"/>
  <c r="AU149" i="1"/>
  <c r="AU148" i="1"/>
  <c r="AU182" i="1"/>
  <c r="AU190" i="1"/>
  <c r="AU172" i="1"/>
  <c r="AU173" i="1"/>
  <c r="AU175" i="1"/>
  <c r="AU184" i="1"/>
  <c r="AU185" i="1"/>
  <c r="AU187" i="1"/>
  <c r="AU169" i="1"/>
  <c r="AU183" i="1"/>
  <c r="AU188" i="1"/>
  <c r="AU170" i="1"/>
  <c r="AU177" i="1"/>
  <c r="AU179" i="1"/>
  <c r="AU181" i="1"/>
  <c r="AU189" i="1"/>
  <c r="AU191" i="1"/>
  <c r="AX16" i="1"/>
  <c r="AW193" i="1"/>
  <c r="AX25" i="1" l="1"/>
  <c r="AX26" i="1"/>
  <c r="AX23" i="1"/>
  <c r="AX27" i="1"/>
  <c r="AX24" i="1"/>
  <c r="AX31" i="1"/>
  <c r="AX28" i="1"/>
  <c r="AX32" i="1"/>
  <c r="AX34" i="1"/>
  <c r="AX29" i="1"/>
  <c r="AX30" i="1"/>
  <c r="AX36" i="1"/>
  <c r="AX45" i="1"/>
  <c r="AX33" i="1"/>
  <c r="AX38" i="1"/>
  <c r="AX42" i="1"/>
  <c r="AX46" i="1"/>
  <c r="AX39" i="1"/>
  <c r="AX35" i="1"/>
  <c r="AX43" i="1"/>
  <c r="AX37" i="1"/>
  <c r="AX40" i="1"/>
  <c r="AX44" i="1"/>
  <c r="AX41" i="1"/>
  <c r="AX51" i="1"/>
  <c r="AX56" i="1"/>
  <c r="AX53" i="1"/>
  <c r="AX55" i="1"/>
  <c r="AX58" i="1"/>
  <c r="AX59" i="1"/>
  <c r="AX61" i="1"/>
  <c r="AX65" i="1"/>
  <c r="AX62" i="1"/>
  <c r="AX66" i="1"/>
  <c r="AX63" i="1"/>
  <c r="AX67" i="1"/>
  <c r="AX69" i="1"/>
  <c r="AX73" i="1"/>
  <c r="AX64" i="1"/>
  <c r="AX70" i="1"/>
  <c r="AX74" i="1"/>
  <c r="AX57" i="1"/>
  <c r="AX60" i="1"/>
  <c r="AX71" i="1"/>
  <c r="AX75" i="1"/>
  <c r="AX77" i="1"/>
  <c r="AX81" i="1"/>
  <c r="AX72" i="1"/>
  <c r="AX78" i="1"/>
  <c r="AX82" i="1"/>
  <c r="AX68" i="1"/>
  <c r="AX79" i="1"/>
  <c r="AX83" i="1"/>
  <c r="AX86" i="1"/>
  <c r="AX90" i="1"/>
  <c r="AX94" i="1"/>
  <c r="AX98" i="1"/>
  <c r="AX80" i="1"/>
  <c r="AX87" i="1"/>
  <c r="AX91" i="1"/>
  <c r="AX95" i="1"/>
  <c r="AX99" i="1"/>
  <c r="AX76" i="1"/>
  <c r="AX84" i="1"/>
  <c r="AX88" i="1"/>
  <c r="AX92" i="1"/>
  <c r="AX85" i="1"/>
  <c r="AX97" i="1"/>
  <c r="AX101" i="1"/>
  <c r="AX105" i="1"/>
  <c r="AX109" i="1"/>
  <c r="AX102" i="1"/>
  <c r="AX106" i="1"/>
  <c r="AX110" i="1"/>
  <c r="AX93" i="1"/>
  <c r="AX103" i="1"/>
  <c r="AX107" i="1"/>
  <c r="AX111" i="1"/>
  <c r="AX100" i="1"/>
  <c r="AX115" i="1"/>
  <c r="AX119" i="1"/>
  <c r="AX123" i="1"/>
  <c r="AX127" i="1"/>
  <c r="AX131" i="1"/>
  <c r="AX128" i="1"/>
  <c r="AX122" i="1"/>
  <c r="AX96" i="1"/>
  <c r="AX112" i="1"/>
  <c r="AX116" i="1"/>
  <c r="AX120" i="1"/>
  <c r="AX124" i="1"/>
  <c r="AX114" i="1"/>
  <c r="AX118" i="1"/>
  <c r="AX130" i="1"/>
  <c r="AX89" i="1"/>
  <c r="AX108" i="1"/>
  <c r="AX113" i="1"/>
  <c r="AX117" i="1"/>
  <c r="AX121" i="1"/>
  <c r="AX125" i="1"/>
  <c r="AX129" i="1"/>
  <c r="AX104" i="1"/>
  <c r="AX126" i="1"/>
  <c r="AX52" i="1"/>
  <c r="AX54" i="1"/>
  <c r="AX50" i="1"/>
  <c r="AX137" i="1"/>
  <c r="AX138" i="1"/>
  <c r="AX139" i="1"/>
  <c r="AX136" i="1"/>
  <c r="AX135" i="1"/>
  <c r="G13" i="1"/>
  <c r="H12" i="1" s="1"/>
  <c r="C16" i="1" s="1"/>
  <c r="AW194" i="1"/>
  <c r="AX132" i="1"/>
  <c r="AX134" i="1"/>
  <c r="AX133" i="1"/>
  <c r="AX47" i="1"/>
  <c r="AX48" i="1"/>
  <c r="AX49" i="1"/>
  <c r="AX19" i="1"/>
  <c r="AX20" i="1"/>
  <c r="AX21" i="1"/>
  <c r="AW196" i="1"/>
  <c r="AV183" i="1"/>
  <c r="AV195" i="1"/>
  <c r="AV168" i="1"/>
  <c r="AV167" i="1"/>
  <c r="AV166" i="1"/>
  <c r="AV164" i="1"/>
  <c r="AV165" i="1"/>
  <c r="AV163" i="1"/>
  <c r="AV162" i="1"/>
  <c r="AV161" i="1"/>
  <c r="AV159" i="1"/>
  <c r="AV160" i="1"/>
  <c r="AV158" i="1"/>
  <c r="AV157" i="1"/>
  <c r="AV156" i="1"/>
  <c r="AV155" i="1"/>
  <c r="AV154" i="1"/>
  <c r="AV153" i="1"/>
  <c r="AV151" i="1"/>
  <c r="AV152" i="1"/>
  <c r="AV150" i="1"/>
  <c r="AV149" i="1"/>
  <c r="AV148" i="1"/>
  <c r="AV177" i="1"/>
  <c r="AV171" i="1"/>
  <c r="AV174" i="1"/>
  <c r="AV172" i="1"/>
  <c r="AV179" i="1"/>
  <c r="AV186" i="1"/>
  <c r="AV184" i="1"/>
  <c r="AV191" i="1"/>
  <c r="AV175" i="1"/>
  <c r="AV181" i="1"/>
  <c r="AV192" i="1"/>
  <c r="AV187" i="1"/>
  <c r="AV169" i="1"/>
  <c r="AV170" i="1"/>
  <c r="AV176" i="1"/>
  <c r="AV182" i="1"/>
  <c r="AV190" i="1"/>
  <c r="AV188" i="1"/>
  <c r="AV173" i="1"/>
  <c r="AV178" i="1"/>
  <c r="AV180" i="1"/>
  <c r="AV185" i="1"/>
  <c r="AV189" i="1"/>
  <c r="AX193" i="1"/>
  <c r="AX194" i="1" l="1"/>
  <c r="AX196" i="1"/>
  <c r="AW188" i="1"/>
  <c r="AW195" i="1"/>
  <c r="AW168" i="1"/>
  <c r="AW167" i="1"/>
  <c r="AW166" i="1"/>
  <c r="AW165" i="1"/>
  <c r="AW164" i="1"/>
  <c r="AW163" i="1"/>
  <c r="AW161" i="1"/>
  <c r="AW162" i="1"/>
  <c r="AW160" i="1"/>
  <c r="AW159" i="1"/>
  <c r="AW158" i="1"/>
  <c r="AW156" i="1"/>
  <c r="AW157" i="1"/>
  <c r="AW155" i="1"/>
  <c r="AW154" i="1"/>
  <c r="AW153" i="1"/>
  <c r="AW152" i="1"/>
  <c r="AW151" i="1"/>
  <c r="AW150" i="1"/>
  <c r="AW148" i="1"/>
  <c r="AW149" i="1"/>
  <c r="AW179" i="1"/>
  <c r="AW191" i="1"/>
  <c r="AW169" i="1"/>
  <c r="AW189" i="1"/>
  <c r="AW181" i="1"/>
  <c r="AW170" i="1"/>
  <c r="AW173" i="1"/>
  <c r="AW183" i="1"/>
  <c r="AW178" i="1"/>
  <c r="AW186" i="1"/>
  <c r="AW192" i="1"/>
  <c r="AW172" i="1"/>
  <c r="AW171" i="1"/>
  <c r="AW175" i="1"/>
  <c r="AW176" i="1"/>
  <c r="AW182" i="1"/>
  <c r="AW190" i="1"/>
  <c r="AW184" i="1"/>
  <c r="AW174" i="1"/>
  <c r="AW177" i="1"/>
  <c r="AW180" i="1"/>
  <c r="AW187" i="1"/>
  <c r="AW185" i="1"/>
  <c r="AX195" i="1" l="1"/>
  <c r="AX168" i="1"/>
  <c r="AX167" i="1"/>
  <c r="AX166" i="1"/>
  <c r="AX164" i="1"/>
  <c r="AX165" i="1"/>
  <c r="AX163" i="1"/>
  <c r="AX162" i="1"/>
  <c r="AX161" i="1"/>
  <c r="AX160" i="1"/>
  <c r="AX159" i="1"/>
  <c r="AX158" i="1"/>
  <c r="AX157" i="1"/>
  <c r="AX156" i="1"/>
  <c r="AX155" i="1"/>
  <c r="AX154" i="1"/>
  <c r="AX153" i="1"/>
  <c r="AX152" i="1"/>
  <c r="AX151" i="1"/>
  <c r="AX150" i="1"/>
  <c r="AX149" i="1"/>
  <c r="AX148" i="1"/>
  <c r="AX192" i="1"/>
  <c r="AX189" i="1"/>
  <c r="AX185" i="1"/>
  <c r="AX190" i="1"/>
  <c r="AX186" i="1"/>
  <c r="AX191" i="1"/>
  <c r="AX187" i="1"/>
  <c r="AX188" i="1"/>
  <c r="AX184" i="1"/>
  <c r="AX179" i="1"/>
  <c r="AX180" i="1"/>
  <c r="AX183" i="1"/>
  <c r="AX181" i="1"/>
  <c r="AX177" i="1"/>
  <c r="AX182" i="1"/>
  <c r="AX178" i="1"/>
  <c r="AX174" i="1"/>
  <c r="AX170" i="1"/>
  <c r="AX176" i="1"/>
  <c r="AX172" i="1"/>
  <c r="AX173" i="1"/>
  <c r="AX175" i="1"/>
  <c r="AX169" i="1"/>
  <c r="AX171" i="1"/>
</calcChain>
</file>

<file path=xl/sharedStrings.xml><?xml version="1.0" encoding="utf-8"?>
<sst xmlns="http://schemas.openxmlformats.org/spreadsheetml/2006/main" count="207" uniqueCount="136">
  <si>
    <t>Bộ chia gas về chậm</t>
  </si>
  <si>
    <t>Nhập ngày báo cáo</t>
  </si>
  <si>
    <t>Ngày bắt đầu của tiến độ tháng</t>
  </si>
  <si>
    <t>(NC)</t>
  </si>
  <si>
    <t>(Ngày)</t>
  </si>
  <si>
    <t>NƯỚC</t>
  </si>
  <si>
    <t>ĐH</t>
  </si>
  <si>
    <t>Tổng NC</t>
  </si>
  <si>
    <t>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</si>
  <si>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</si>
  <si>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</si>
  <si>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</si>
  <si>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</si>
  <si>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</si>
  <si>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</si>
  <si>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</si>
  <si>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</si>
  <si>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</si>
  <si>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</si>
  <si>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</si>
  <si>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</si>
  <si>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</si>
  <si>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</si>
  <si>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</si>
  <si>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</si>
  <si>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</si>
  <si>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</si>
  <si>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</si>
  <si>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</si>
  <si>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</si>
  <si>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</si>
  <si>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</si>
  <si>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</si>
  <si>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</si>
  <si>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</si>
  <si>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</si>
  <si>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</si>
  <si>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</si>
  <si>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</si>
  <si>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</si>
  <si>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</si>
  <si>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</si>
  <si>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</si>
  <si>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</si>
  <si>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Tình trạng</t>
  </si>
  <si>
    <t>Quá hạn</t>
  </si>
  <si>
    <t>Ngày KTTT</t>
  </si>
  <si>
    <t>Ngày BC</t>
  </si>
  <si>
    <t>Ngày BĐTT</t>
  </si>
  <si>
    <t>GHI CHÚ :</t>
  </si>
  <si>
    <t>Ngày bắt đầu TT</t>
  </si>
  <si>
    <t>Ngày kết thúc TT</t>
  </si>
  <si>
    <t>Số ngày  KH</t>
  </si>
  <si>
    <t>Số ngày  TT</t>
  </si>
  <si>
    <t>HPNC KH</t>
  </si>
  <si>
    <t>HPNC TT</t>
  </si>
  <si>
    <t>Kiểm tra, chạy thử hệ thống/Testing, running system</t>
  </si>
  <si>
    <t xml:space="preserve">Thi công lắp đặt thiết bị vệ sinh/Installig sanitary equipment </t>
  </si>
  <si>
    <t>Kiểm tra, chạy thử hệ thống/Teestng and running system</t>
  </si>
  <si>
    <t>Hệ thống thông gió và điều hòa không khí/HVAC System</t>
  </si>
  <si>
    <t>Stt/No</t>
  </si>
  <si>
    <t>Công việc thi công/Work</t>
  </si>
  <si>
    <t>,</t>
  </si>
  <si>
    <t>% Hoàn thành/ completed Percentage</t>
  </si>
  <si>
    <t>Hạng Mục/Item: MEP</t>
  </si>
  <si>
    <t>TIẾN ĐỘ THI CÔNG THÁNG/ MONTHLY SCHEDULE</t>
  </si>
  <si>
    <t>Ghi chú/Remark</t>
  </si>
  <si>
    <t>Tuần 1/Week 1</t>
  </si>
  <si>
    <t>Tuần 2/Week 2</t>
  </si>
  <si>
    <t>Tuần 3/Week 3</t>
  </si>
  <si>
    <t>Tuần 4/ Week 4</t>
  </si>
  <si>
    <t>Tuần 5/ Week 5</t>
  </si>
  <si>
    <t>Ngày bắt đầu KH/Beginning of day</t>
  </si>
  <si>
    <t>Ngày kết thúc Kh/End of day</t>
  </si>
  <si>
    <t>Tháng</t>
  </si>
  <si>
    <t>Dư án: Bãi Tràm Estates</t>
  </si>
  <si>
    <t>Địa điểm/Address: Xã Xuân Cảnh, Thị xã Sông Cầu, Tỉnh Phú Yên/</t>
  </si>
  <si>
    <t xml:space="preserve">Gói thầu/Package: Cơ </t>
  </si>
  <si>
    <t>I</t>
  </si>
  <si>
    <t>Thi công lắp đặt ống đồng và bảo ôn tầng T1/Installing copper pipe and heat insulation floor1</t>
  </si>
  <si>
    <t>Thi công lắp đặt ống nước ngưng và bảo ôn tầng T1/Installing sealing water pipe and heat insulation floor1</t>
  </si>
  <si>
    <t>Thi công lắp đặt đường ống thông gió và bảo ôn tầng T1/Installing air duct and heat insulation floor1</t>
  </si>
  <si>
    <t>Thi công lắp đặt ống luồn dây tin hiệu và điều khiển tầng T1/Installing signal of conduit and controlling floor1</t>
  </si>
  <si>
    <t>Thử áp đường ống đồng tầng T1/Testing pressure copper pipe floor1</t>
  </si>
  <si>
    <t>Thử kín đường ống nước ngưng tầng T1/Testing sealing water pipe floor1</t>
  </si>
  <si>
    <t>Lắp đặt thiết bị quạt thông gió tầng T1/Installing air duct fan equipment floor1</t>
  </si>
  <si>
    <t>Lắp đặt thiết bị điều hòa không khí tầng T1/Installing air conditional equipment floor1</t>
  </si>
  <si>
    <t>Lắp đặt thiết bị điều khiển tầng T1/Installing controling equipment floor1</t>
  </si>
  <si>
    <t>Lắp đặt cửa gió tầng T1/Installing air diffuser floor1</t>
  </si>
  <si>
    <t>Thi công lắp đặt ống đồng và bảo ôn tầng T2/Installing copper pipe and heat insulation floor2</t>
  </si>
  <si>
    <t>Thi công lắp đặt ống nước ngưng và bảo ôn tầng T2/Installing sealing water pipe and heat insulation floor2</t>
  </si>
  <si>
    <t>Thi công lắp đặt đường ống thông gió và bảo ôn tầng T2/Installing air duct and heat insulation floor2</t>
  </si>
  <si>
    <t>Thi công lắp đặt ống luồn dây tiến hiệu và điều khiển tầng T2/Installing signal of conduit and controlling floor2</t>
  </si>
  <si>
    <t>Thử áp đường ống đồng tầng T2/Testing pressure copper pipe floor2</t>
  </si>
  <si>
    <t>Thử kín đường ống nước ngưng tầng T2/Testing sealing water pipe floor2</t>
  </si>
  <si>
    <t>Lắp đặt thiết bị quạt thông gió tầng T2/Installing air duct fan equipment floor2</t>
  </si>
  <si>
    <t>Lắp đặt thiết bị điều hòa không khí tầng T2/Installing air conditional equipment floor2</t>
  </si>
  <si>
    <t>Lắp đặt thiết bị điều khiển tầng T2/Installing controling equipment floor2</t>
  </si>
  <si>
    <t>Lắp đặt cửa gió tầng T2/Installing air diffuser floor2</t>
  </si>
  <si>
    <t>B</t>
  </si>
  <si>
    <t>Zone A</t>
  </si>
  <si>
    <t>Zone B</t>
  </si>
  <si>
    <t>Thử kín đường ống nước ngưng tầng T2/Testing sealing water pipe floor1</t>
  </si>
  <si>
    <t>Zone C</t>
  </si>
  <si>
    <t>Zone D</t>
  </si>
  <si>
    <t>Thi công lắp đặt ống đồng và bảo ôn tầng mái/Installing copper pipe and heat insulation floor3</t>
  </si>
  <si>
    <t>Thi công lắp đặt ống nước ngưng và bảo ôn tầng T2/Installing sealing water pipe and heat insulation floor3</t>
  </si>
  <si>
    <t>Thi công lắp đặt ống luồn dây tiến hiệu và điều khiển tầng T2/Installing signal of conduit and controlling floor3</t>
  </si>
  <si>
    <t>Thử áp đường ống đồng tầng T3/Testing pressure copper pipe floor2</t>
  </si>
  <si>
    <t>Thử kín đường ống nước ngưng tầng T2/Testing sealing water pipe floor3</t>
  </si>
  <si>
    <t>Lắp đặt thiết bị quạt thông gió tầng mái/Installing air duct fan equipment rooftop</t>
  </si>
  <si>
    <t>Lắp đặt thiết bị điều hòa không khí tầng mái/Installing air conditional equipment rooftop</t>
  </si>
  <si>
    <t>Lắp đặt thiết bị điều khiển tầng T2/Installing controling equipment floor3</t>
  </si>
  <si>
    <t>C</t>
  </si>
  <si>
    <t>D</t>
  </si>
  <si>
    <t>BOH</t>
  </si>
  <si>
    <t>HBG-BTE-SD-BOH</t>
  </si>
  <si>
    <t>Lắp đặt đường ống cấp, máy bơm,van... /Water supply pipe installation, pumper, valve</t>
  </si>
  <si>
    <t>Lắp đặt bơm nước mưa/Rain water pumper installation</t>
  </si>
  <si>
    <t>II</t>
  </si>
  <si>
    <t>Hệ thống cấp thoát nước/Water supply and drainage system( Retaining wall &amp; Car parking)</t>
  </si>
  <si>
    <t>Lắp đặt ống Upvc chờ /Sleeve pipe installation installation</t>
  </si>
  <si>
    <t>Hệ thống cấp thoát nước/Water supply and drainage system(Zone A)</t>
  </si>
  <si>
    <t>Lắp đặt đường ống nước cấp nước thoát/Water supply pipe system installation</t>
  </si>
  <si>
    <t>Kiểm tra thử kín, thử áp hệ thống cấp thoát nước/testing water supply system</t>
  </si>
  <si>
    <t>III</t>
  </si>
  <si>
    <t>Hệ thống cấp thoát nước/Water supply and drainage system(Zone B)</t>
  </si>
  <si>
    <t>IV</t>
  </si>
  <si>
    <t>Hệ thống cấp thoát nước/Water supply and drainage system(Zone C)</t>
  </si>
  <si>
    <t>V</t>
  </si>
  <si>
    <t>Hệ thống cấp thoát nước/Water supply and drainage system(Zone D)</t>
  </si>
  <si>
    <t>VI</t>
  </si>
  <si>
    <t>Lắp đặt đường ống thoát âm sàn phòng bơm/Floor recessed pipe installation for pumper room</t>
  </si>
  <si>
    <t>Hệ thống cấp thoát nước/Water supply and drainage system(Basement)( Phần âm)</t>
  </si>
  <si>
    <t>Bể nước sinh hoạt, phòng cháy chữa cháy: Lắp đặt ống slevee inox,slevee  ống Upvc/Domestic water tank, Fire fighting, sleeve pipe installation, UPVC pipe</t>
  </si>
  <si>
    <t>Bể STP: Lắp đặt ống slevee upvc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</si>
</sst>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dd"/>
    <numFmt numFmtId="165" formatCode="d/m/yy"/>
    <numFmt numFmtId="166" formatCode="mm"/>
    <numFmt numFmtId="167" formatCode="dd/mm/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30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name val="Times New Roman"/>
      <family val="1"/>
    </font>
    <font>
      <sz val="10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0"/>
      <name val="Times New Roman"/>
      <family val="1"/>
    </font>
    <font>
      <sz val="12"/>
      <color theme="0"/>
      <name val="Times New Roman"/>
      <family val="1"/>
    </font>
    <font>
      <b/>
      <sz val="16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F8BE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4">
    <xf numFmtId="0" fontId="0" fillId="0" borderId="0" xfId="0"/>
    <xf numFmtId="0" fontId="2" fillId="0" borderId="0" xfId="0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3" fontId="9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3" fontId="7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horizontal="center" vertical="center"/>
      <protection locked="0"/>
    </xf>
    <xf numFmtId="3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2" borderId="0" xfId="0" applyFont="1" applyFill="1" applyBorder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9" fontId="4" fillId="2" borderId="8" xfId="1" applyFont="1" applyFill="1" applyBorder="1" applyAlignment="1" applyProtection="1">
      <alignment horizontal="center" vertical="center"/>
      <protection locked="0"/>
    </xf>
    <xf numFmtId="14" fontId="4" fillId="2" borderId="8" xfId="0" applyNumberFormat="1" applyFont="1" applyFill="1" applyBorder="1" applyAlignment="1" applyProtection="1">
      <alignment horizontal="center" vertical="center"/>
      <protection locked="0"/>
    </xf>
    <xf numFmtId="3" fontId="4" fillId="2" borderId="8" xfId="0" applyNumberFormat="1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14" fillId="3" borderId="0" xfId="0" applyFont="1" applyFill="1" applyBorder="1" applyAlignment="1" applyProtection="1">
      <alignment horizontal="center" vertical="center"/>
      <protection locked="0"/>
    </xf>
    <xf numFmtId="14" fontId="20" fillId="7" borderId="0" xfId="0" applyNumberFormat="1" applyFont="1" applyFill="1" applyBorder="1" applyAlignment="1" applyProtection="1">
      <alignment horizontal="center" vertical="center"/>
      <protection locked="0"/>
    </xf>
    <xf numFmtId="16" fontId="8" fillId="7" borderId="0" xfId="0" applyNumberFormat="1" applyFont="1" applyFill="1" applyBorder="1" applyAlignment="1" applyProtection="1">
      <alignment horizontal="center" vertical="center"/>
      <protection locked="0"/>
    </xf>
    <xf numFmtId="16" fontId="20" fillId="7" borderId="0" xfId="0" applyNumberFormat="1" applyFont="1" applyFill="1" applyBorder="1" applyAlignment="1" applyProtection="1">
      <alignment horizontal="center" vertical="center"/>
      <protection locked="0"/>
    </xf>
    <xf numFmtId="0" fontId="2" fillId="7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left" vertical="center"/>
      <protection locked="0"/>
    </xf>
    <xf numFmtId="0" fontId="9" fillId="7" borderId="0" xfId="0" applyFont="1" applyFill="1" applyAlignment="1" applyProtection="1">
      <alignment horizontal="center" vertical="center"/>
      <protection locked="0"/>
    </xf>
    <xf numFmtId="14" fontId="3" fillId="7" borderId="8" xfId="0" applyNumberFormat="1" applyFont="1" applyFill="1" applyBorder="1" applyAlignment="1" applyProtection="1">
      <alignment horizontal="center" vertical="center"/>
      <protection locked="0"/>
    </xf>
    <xf numFmtId="0" fontId="3" fillId="7" borderId="8" xfId="0" applyFont="1" applyFill="1" applyBorder="1" applyAlignment="1" applyProtection="1">
      <alignment horizontal="center" vertical="center"/>
      <protection locked="0"/>
    </xf>
    <xf numFmtId="3" fontId="3" fillId="7" borderId="8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3" fontId="10" fillId="0" borderId="0" xfId="0" applyNumberFormat="1" applyFont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 applyProtection="1">
      <alignment horizontal="center" vertical="center"/>
      <protection locked="0"/>
    </xf>
    <xf numFmtId="16" fontId="2" fillId="3" borderId="8" xfId="0" applyNumberFormat="1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14" fontId="3" fillId="7" borderId="2" xfId="0" applyNumberFormat="1" applyFont="1" applyFill="1" applyBorder="1" applyAlignment="1" applyProtection="1">
      <alignment horizontal="center" vertical="center"/>
      <protection locked="0"/>
    </xf>
    <xf numFmtId="3" fontId="14" fillId="3" borderId="0" xfId="0" applyNumberFormat="1" applyFont="1" applyFill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3" fontId="7" fillId="0" borderId="0" xfId="0" applyNumberFormat="1" applyFont="1" applyFill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9" fontId="3" fillId="0" borderId="8" xfId="1" applyFont="1" applyBorder="1" applyAlignment="1" applyProtection="1">
      <alignment horizontal="center" vertical="center"/>
      <protection locked="0"/>
    </xf>
    <xf numFmtId="9" fontId="3" fillId="0" borderId="2" xfId="1" applyFont="1" applyBorder="1" applyAlignment="1" applyProtection="1">
      <alignment horizontal="center" vertical="center"/>
      <protection locked="0"/>
    </xf>
    <xf numFmtId="0" fontId="7" fillId="6" borderId="15" xfId="0" applyFont="1" applyFill="1" applyBorder="1" applyAlignment="1" applyProtection="1">
      <alignment horizontal="left" vertical="center"/>
      <protection locked="0"/>
    </xf>
    <xf numFmtId="0" fontId="7" fillId="6" borderId="0" xfId="0" applyFont="1" applyFill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16" fillId="6" borderId="0" xfId="0" applyFont="1" applyFill="1" applyAlignment="1" applyProtection="1">
      <alignment horizontal="center" vertical="center"/>
      <protection locked="0"/>
    </xf>
    <xf numFmtId="0" fontId="7" fillId="5" borderId="0" xfId="0" applyFont="1" applyFill="1" applyAlignment="1" applyProtection="1">
      <alignment horizontal="center" vertical="center"/>
      <protection locked="0"/>
    </xf>
    <xf numFmtId="3" fontId="7" fillId="5" borderId="0" xfId="1" applyNumberFormat="1" applyFont="1" applyFill="1" applyAlignment="1" applyProtection="1">
      <alignment horizontal="center" vertical="center"/>
      <protection locked="0"/>
    </xf>
    <xf numFmtId="3" fontId="7" fillId="5" borderId="0" xfId="0" applyNumberFormat="1" applyFont="1" applyFill="1" applyAlignment="1" applyProtection="1">
      <alignment horizontal="center" vertical="center"/>
      <protection locked="0"/>
    </xf>
    <xf numFmtId="164" fontId="3" fillId="4" borderId="7" xfId="0" applyNumberFormat="1" applyFont="1" applyFill="1" applyBorder="1" applyAlignment="1" applyProtection="1">
      <alignment horizontal="center" vertical="center"/>
      <protection locked="0"/>
    </xf>
    <xf numFmtId="164" fontId="3" fillId="4" borderId="5" xfId="0" applyNumberFormat="1" applyFont="1" applyFill="1" applyBorder="1" applyAlignment="1" applyProtection="1">
      <alignment horizontal="center" vertical="center"/>
      <protection locked="0"/>
    </xf>
    <xf numFmtId="164" fontId="3" fillId="4" borderId="4" xfId="0" applyNumberFormat="1" applyFont="1" applyFill="1" applyBorder="1" applyAlignment="1" applyProtection="1">
      <alignment horizontal="center" vertical="center"/>
      <protection locked="0"/>
    </xf>
    <xf numFmtId="0" fontId="2" fillId="3" borderId="21" xfId="0" applyFont="1" applyFill="1" applyBorder="1" applyAlignment="1" applyProtection="1">
      <alignment horizontal="center" vertical="center"/>
      <protection locked="0"/>
    </xf>
    <xf numFmtId="0" fontId="18" fillId="3" borderId="0" xfId="0" applyFont="1" applyFill="1" applyBorder="1" applyAlignment="1" applyProtection="1">
      <alignment horizontal="center" vertical="center"/>
      <protection locked="0"/>
    </xf>
    <xf numFmtId="0" fontId="5" fillId="3" borderId="9" xfId="0" applyFont="1" applyFill="1" applyBorder="1" applyAlignment="1" applyProtection="1">
      <alignment horizontal="center" vertical="center"/>
      <protection locked="0"/>
    </xf>
    <xf numFmtId="0" fontId="5" fillId="3" borderId="8" xfId="0" applyFont="1" applyFill="1" applyBorder="1" applyAlignment="1" applyProtection="1">
      <alignment horizontal="left" vertical="center" wrapText="1"/>
      <protection locked="0"/>
    </xf>
    <xf numFmtId="9" fontId="5" fillId="3" borderId="8" xfId="1" applyFont="1" applyFill="1" applyBorder="1" applyAlignment="1" applyProtection="1">
      <alignment horizontal="center" vertical="center"/>
      <protection locked="0"/>
    </xf>
    <xf numFmtId="14" fontId="5" fillId="3" borderId="8" xfId="0" applyNumberFormat="1" applyFont="1" applyFill="1" applyBorder="1" applyAlignment="1" applyProtection="1">
      <alignment horizontal="center" vertical="center"/>
      <protection locked="0"/>
    </xf>
    <xf numFmtId="0" fontId="18" fillId="3" borderId="3" xfId="0" applyFont="1" applyFill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left" vertical="center" wrapText="1"/>
      <protection locked="0"/>
    </xf>
    <xf numFmtId="0" fontId="18" fillId="0" borderId="34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left" vertical="center" wrapText="1"/>
      <protection locked="0"/>
    </xf>
    <xf numFmtId="0" fontId="21" fillId="7" borderId="0" xfId="0" applyFont="1" applyFill="1" applyAlignment="1" applyProtection="1">
      <alignment horizontal="center" vertical="center"/>
      <protection locked="0"/>
    </xf>
    <xf numFmtId="164" fontId="4" fillId="6" borderId="0" xfId="0" applyNumberFormat="1" applyFont="1" applyFill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4" fillId="7" borderId="0" xfId="0" applyFont="1" applyFill="1" applyAlignment="1" applyProtection="1">
      <alignment horizontal="center" vertical="center"/>
      <protection locked="0"/>
    </xf>
    <xf numFmtId="0" fontId="24" fillId="7" borderId="0" xfId="0" applyFont="1" applyFill="1" applyBorder="1" applyAlignment="1" applyProtection="1">
      <alignment horizontal="center" vertical="center"/>
      <protection locked="0"/>
    </xf>
    <xf numFmtId="0" fontId="25" fillId="7" borderId="0" xfId="0" applyFont="1" applyFill="1" applyBorder="1" applyAlignment="1" applyProtection="1">
      <alignment horizontal="center" vertical="center"/>
      <protection locked="0"/>
    </xf>
    <xf numFmtId="0" fontId="26" fillId="7" borderId="0" xfId="0" applyFont="1" applyFill="1" applyBorder="1" applyAlignment="1" applyProtection="1">
      <alignment horizontal="center" vertical="center"/>
      <protection locked="0"/>
    </xf>
    <xf numFmtId="43" fontId="9" fillId="0" borderId="0" xfId="2" applyFont="1" applyAlignment="1" applyProtection="1">
      <alignment horizontal="center" vertical="center"/>
      <protection locked="0"/>
    </xf>
    <xf numFmtId="0" fontId="27" fillId="7" borderId="0" xfId="0" applyFont="1" applyFill="1" applyAlignment="1" applyProtection="1">
      <alignment horizontal="left" vertical="center"/>
      <protection locked="0"/>
    </xf>
    <xf numFmtId="0" fontId="23" fillId="7" borderId="0" xfId="0" applyFont="1" applyFill="1" applyBorder="1" applyAlignment="1" applyProtection="1">
      <alignment horizontal="center" vertical="center"/>
      <protection locked="0"/>
    </xf>
    <xf numFmtId="167" fontId="22" fillId="10" borderId="37" xfId="0" applyNumberFormat="1" applyFont="1" applyFill="1" applyBorder="1" applyAlignment="1" applyProtection="1">
      <alignment horizontal="center" vertical="center"/>
      <protection locked="0"/>
    </xf>
    <xf numFmtId="14" fontId="4" fillId="3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/>
      <protection locked="0"/>
    </xf>
    <xf numFmtId="0" fontId="10" fillId="7" borderId="0" xfId="0" applyFont="1" applyFill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vertical="center"/>
      <protection locked="0"/>
    </xf>
    <xf numFmtId="9" fontId="5" fillId="3" borderId="8" xfId="1" applyFont="1" applyFill="1" applyBorder="1" applyAlignment="1" applyProtection="1">
      <alignment horizontal="center" vertical="center"/>
      <protection hidden="1"/>
    </xf>
    <xf numFmtId="14" fontId="4" fillId="3" borderId="8" xfId="0" applyNumberFormat="1" applyFont="1" applyFill="1" applyBorder="1" applyAlignment="1" applyProtection="1">
      <alignment horizontal="center" vertical="center"/>
      <protection hidden="1"/>
    </xf>
    <xf numFmtId="9" fontId="4" fillId="2" borderId="8" xfId="1" applyFont="1" applyFill="1" applyBorder="1" applyAlignment="1" applyProtection="1">
      <alignment horizontal="center" vertical="center"/>
      <protection hidden="1"/>
    </xf>
    <xf numFmtId="14" fontId="4" fillId="2" borderId="8" xfId="0" applyNumberFormat="1" applyFont="1" applyFill="1" applyBorder="1" applyAlignment="1" applyProtection="1">
      <alignment horizontal="center" vertical="center"/>
      <protection hidden="1"/>
    </xf>
    <xf numFmtId="9" fontId="3" fillId="0" borderId="8" xfId="1" applyFont="1" applyBorder="1" applyAlignment="1" applyProtection="1">
      <alignment horizontal="center" vertical="center"/>
      <protection hidden="1"/>
    </xf>
    <xf numFmtId="14" fontId="3" fillId="7" borderId="8" xfId="0" applyNumberFormat="1" applyFont="1" applyFill="1" applyBorder="1" applyAlignment="1" applyProtection="1">
      <alignment horizontal="center" vertical="center"/>
      <protection hidden="1"/>
    </xf>
    <xf numFmtId="14" fontId="18" fillId="7" borderId="8" xfId="0" applyNumberFormat="1" applyFont="1" applyFill="1" applyBorder="1" applyAlignment="1" applyProtection="1">
      <alignment horizontal="center" vertical="center"/>
      <protection hidden="1"/>
    </xf>
    <xf numFmtId="9" fontId="3" fillId="0" borderId="2" xfId="1" applyFont="1" applyBorder="1" applyAlignment="1" applyProtection="1">
      <alignment horizontal="center" vertical="center"/>
      <protection hidden="1"/>
    </xf>
    <xf numFmtId="14" fontId="3" fillId="7" borderId="2" xfId="0" applyNumberFormat="1" applyFont="1" applyFill="1" applyBorder="1" applyAlignment="1" applyProtection="1">
      <alignment horizontal="center" vertical="center"/>
      <protection hidden="1"/>
    </xf>
    <xf numFmtId="3" fontId="5" fillId="3" borderId="8" xfId="0" applyNumberFormat="1" applyFont="1" applyFill="1" applyBorder="1" applyAlignment="1" applyProtection="1">
      <alignment horizontal="center" vertical="center"/>
      <protection hidden="1"/>
    </xf>
    <xf numFmtId="3" fontId="4" fillId="2" borderId="21" xfId="0" applyNumberFormat="1" applyFont="1" applyFill="1" applyBorder="1" applyAlignment="1" applyProtection="1">
      <alignment horizontal="center" vertical="center"/>
      <protection hidden="1"/>
    </xf>
    <xf numFmtId="0" fontId="3" fillId="7" borderId="8" xfId="0" applyFont="1" applyFill="1" applyBorder="1" applyAlignment="1" applyProtection="1">
      <alignment horizontal="center" vertical="center"/>
      <protection hidden="1"/>
    </xf>
    <xf numFmtId="0" fontId="3" fillId="0" borderId="8" xfId="0" applyFont="1" applyBorder="1" applyAlignment="1" applyProtection="1">
      <alignment horizontal="center" vertical="center" wrapText="1"/>
      <protection hidden="1"/>
    </xf>
    <xf numFmtId="14" fontId="5" fillId="3" borderId="8" xfId="0" applyNumberFormat="1" applyFont="1" applyFill="1" applyBorder="1" applyAlignment="1" applyProtection="1">
      <alignment horizontal="center" vertical="center"/>
      <protection hidden="1"/>
    </xf>
    <xf numFmtId="3" fontId="3" fillId="7" borderId="8" xfId="0" applyNumberFormat="1" applyFont="1" applyFill="1" applyBorder="1" applyAlignment="1" applyProtection="1">
      <alignment horizontal="center" vertical="center"/>
      <protection hidden="1"/>
    </xf>
    <xf numFmtId="0" fontId="18" fillId="3" borderId="7" xfId="0" applyFont="1" applyFill="1" applyBorder="1" applyAlignment="1" applyProtection="1">
      <alignment horizontal="center" vertical="center"/>
      <protection hidden="1"/>
    </xf>
    <xf numFmtId="0" fontId="18" fillId="3" borderId="5" xfId="0" applyFont="1" applyFill="1" applyBorder="1" applyAlignment="1" applyProtection="1">
      <alignment horizontal="center" vertical="center"/>
      <protection hidden="1"/>
    </xf>
    <xf numFmtId="0" fontId="18" fillId="3" borderId="4" xfId="0" applyFont="1" applyFill="1" applyBorder="1" applyAlignment="1" applyProtection="1">
      <alignment horizontal="center" vertical="center"/>
      <protection hidden="1"/>
    </xf>
    <xf numFmtId="0" fontId="0" fillId="7" borderId="24" xfId="0" applyFont="1" applyFill="1" applyBorder="1" applyAlignment="1" applyProtection="1">
      <alignment horizontal="center" vertical="center"/>
      <protection hidden="1"/>
    </xf>
    <xf numFmtId="0" fontId="0" fillId="7" borderId="25" xfId="0" applyFont="1" applyFill="1" applyBorder="1" applyAlignment="1" applyProtection="1">
      <alignment horizontal="center" vertical="center"/>
      <protection hidden="1"/>
    </xf>
    <xf numFmtId="0" fontId="0" fillId="7" borderId="28" xfId="0" applyFont="1" applyFill="1" applyBorder="1" applyAlignment="1" applyProtection="1">
      <alignment horizontal="center" vertical="center"/>
      <protection hidden="1"/>
    </xf>
    <xf numFmtId="0" fontId="0" fillId="7" borderId="27" xfId="0" applyFont="1" applyFill="1" applyBorder="1" applyAlignment="1" applyProtection="1">
      <alignment horizontal="center" vertical="center"/>
      <protection hidden="1"/>
    </xf>
    <xf numFmtId="0" fontId="0" fillId="7" borderId="26" xfId="0" applyFont="1" applyFill="1" applyBorder="1" applyAlignment="1" applyProtection="1">
      <alignment horizontal="center" vertical="center"/>
      <protection hidden="1"/>
    </xf>
    <xf numFmtId="0" fontId="19" fillId="7" borderId="7" xfId="0" applyFont="1" applyFill="1" applyBorder="1" applyAlignment="1" applyProtection="1">
      <alignment horizontal="center" vertical="center"/>
      <protection hidden="1"/>
    </xf>
    <xf numFmtId="0" fontId="19" fillId="7" borderId="6" xfId="0" applyFont="1" applyFill="1" applyBorder="1" applyAlignment="1" applyProtection="1">
      <alignment horizontal="center" vertical="center"/>
      <protection hidden="1"/>
    </xf>
    <xf numFmtId="0" fontId="19" fillId="7" borderId="32" xfId="0" applyFont="1" applyFill="1" applyBorder="1" applyAlignment="1" applyProtection="1">
      <alignment horizontal="center" vertical="center"/>
      <protection hidden="1"/>
    </xf>
    <xf numFmtId="0" fontId="19" fillId="7" borderId="5" xfId="0" applyFont="1" applyFill="1" applyBorder="1" applyAlignment="1" applyProtection="1">
      <alignment horizontal="center" vertical="center"/>
      <protection hidden="1"/>
    </xf>
    <xf numFmtId="0" fontId="19" fillId="7" borderId="4" xfId="0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3" fontId="14" fillId="3" borderId="0" xfId="0" applyNumberFormat="1" applyFont="1" applyFill="1" applyAlignment="1" applyProtection="1">
      <alignment horizontal="center" vertical="center"/>
      <protection hidden="1"/>
    </xf>
    <xf numFmtId="0" fontId="15" fillId="0" borderId="0" xfId="0" applyFont="1" applyAlignment="1" applyProtection="1">
      <alignment horizontal="center" vertical="center"/>
      <protection hidden="1"/>
    </xf>
    <xf numFmtId="0" fontId="12" fillId="0" borderId="0" xfId="0" applyFont="1" applyBorder="1" applyAlignment="1" applyProtection="1">
      <alignment horizontal="center" vertical="center"/>
      <protection hidden="1"/>
    </xf>
    <xf numFmtId="0" fontId="17" fillId="7" borderId="0" xfId="0" applyFont="1" applyFill="1" applyBorder="1" applyAlignment="1" applyProtection="1">
      <alignment horizontal="center" vertical="center"/>
      <protection hidden="1"/>
    </xf>
    <xf numFmtId="0" fontId="2" fillId="3" borderId="23" xfId="0" applyFont="1" applyFill="1" applyBorder="1" applyAlignment="1" applyProtection="1">
      <alignment horizontal="center" vertical="center"/>
      <protection locked="0"/>
    </xf>
    <xf numFmtId="165" fontId="7" fillId="3" borderId="39" xfId="0" applyNumberFormat="1" applyFont="1" applyFill="1" applyBorder="1" applyAlignment="1" applyProtection="1">
      <alignment vertical="center"/>
      <protection locked="0"/>
    </xf>
    <xf numFmtId="165" fontId="7" fillId="7" borderId="40" xfId="0" applyNumberFormat="1" applyFont="1" applyFill="1" applyBorder="1" applyAlignment="1" applyProtection="1">
      <alignment vertical="center"/>
      <protection locked="0"/>
    </xf>
    <xf numFmtId="16" fontId="8" fillId="7" borderId="40" xfId="0" applyNumberFormat="1" applyFont="1" applyFill="1" applyBorder="1" applyAlignment="1" applyProtection="1">
      <alignment horizontal="center" vertical="center"/>
      <protection locked="0"/>
    </xf>
    <xf numFmtId="165" fontId="7" fillId="3" borderId="41" xfId="0" applyNumberFormat="1" applyFont="1" applyFill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4" fillId="3" borderId="3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/>
      <protection hidden="1"/>
    </xf>
    <xf numFmtId="0" fontId="7" fillId="3" borderId="18" xfId="0" applyFont="1" applyFill="1" applyBorder="1" applyAlignment="1" applyProtection="1">
      <alignment horizontal="center" vertical="center"/>
      <protection locked="0"/>
    </xf>
    <xf numFmtId="0" fontId="7" fillId="3" borderId="20" xfId="0" applyFont="1" applyFill="1" applyBorder="1" applyAlignment="1" applyProtection="1">
      <alignment horizontal="center" vertical="center"/>
      <protection locked="0"/>
    </xf>
    <xf numFmtId="0" fontId="7" fillId="3" borderId="38" xfId="0" applyFont="1" applyFill="1" applyBorder="1" applyAlignment="1" applyProtection="1">
      <alignment horizontal="center" vertical="center"/>
      <protection locked="0"/>
    </xf>
    <xf numFmtId="0" fontId="4" fillId="4" borderId="31" xfId="0" applyFont="1" applyFill="1" applyBorder="1" applyAlignment="1" applyProtection="1">
      <alignment horizontal="center" vertical="center" wrapText="1"/>
      <protection locked="0"/>
    </xf>
    <xf numFmtId="0" fontId="4" fillId="4" borderId="23" xfId="0" applyFont="1" applyFill="1" applyBorder="1" applyAlignment="1" applyProtection="1">
      <alignment horizontal="center" vertical="center" wrapText="1"/>
      <protection locked="0"/>
    </xf>
    <xf numFmtId="0" fontId="4" fillId="4" borderId="10" xfId="0" applyFont="1" applyFill="1" applyBorder="1" applyAlignment="1" applyProtection="1">
      <alignment horizontal="center" vertical="center" wrapText="1"/>
      <protection locked="0"/>
    </xf>
    <xf numFmtId="0" fontId="7" fillId="4" borderId="7" xfId="0" applyFont="1" applyFill="1" applyBorder="1" applyAlignment="1" applyProtection="1">
      <alignment horizontal="center" vertical="center"/>
      <protection locked="0"/>
    </xf>
    <xf numFmtId="0" fontId="7" fillId="4" borderId="5" xfId="0" applyFont="1" applyFill="1" applyBorder="1" applyAlignment="1" applyProtection="1">
      <alignment horizontal="center" vertical="center"/>
      <protection locked="0"/>
    </xf>
    <xf numFmtId="0" fontId="7" fillId="4" borderId="4" xfId="0" applyFont="1" applyFill="1" applyBorder="1" applyAlignment="1" applyProtection="1">
      <alignment horizontal="center" vertical="center"/>
      <protection locked="0"/>
    </xf>
    <xf numFmtId="0" fontId="4" fillId="4" borderId="13" xfId="0" applyFont="1" applyFill="1" applyBorder="1" applyAlignment="1" applyProtection="1">
      <alignment horizontal="center" vertical="center" wrapText="1"/>
      <protection locked="0"/>
    </xf>
    <xf numFmtId="0" fontId="4" fillId="4" borderId="22" xfId="0" applyFont="1" applyFill="1" applyBorder="1" applyAlignment="1" applyProtection="1">
      <alignment horizontal="center" vertical="center" wrapText="1"/>
      <protection locked="0"/>
    </xf>
    <xf numFmtId="0" fontId="4" fillId="4" borderId="11" xfId="0" applyFont="1" applyFill="1" applyBorder="1" applyAlignment="1" applyProtection="1">
      <alignment horizontal="center" vertical="center" wrapText="1"/>
      <protection locked="0"/>
    </xf>
    <xf numFmtId="0" fontId="4" fillId="4" borderId="13" xfId="0" applyFont="1" applyFill="1" applyBorder="1" applyAlignment="1" applyProtection="1">
      <alignment horizontal="center" vertical="center"/>
      <protection locked="0"/>
    </xf>
    <xf numFmtId="0" fontId="4" fillId="4" borderId="22" xfId="0" applyFont="1" applyFill="1" applyBorder="1" applyAlignment="1" applyProtection="1">
      <alignment horizontal="center" vertical="center"/>
      <protection locked="0"/>
    </xf>
    <xf numFmtId="0" fontId="4" fillId="4" borderId="11" xfId="0" applyFont="1" applyFill="1" applyBorder="1" applyAlignment="1" applyProtection="1">
      <alignment horizontal="center" vertical="center"/>
      <protection locked="0"/>
    </xf>
    <xf numFmtId="0" fontId="7" fillId="9" borderId="13" xfId="0" applyFont="1" applyFill="1" applyBorder="1" applyAlignment="1" applyProtection="1">
      <alignment horizontal="center" vertical="center" wrapText="1"/>
      <protection locked="0"/>
    </xf>
    <xf numFmtId="0" fontId="7" fillId="9" borderId="22" xfId="0" applyFont="1" applyFill="1" applyBorder="1" applyAlignment="1" applyProtection="1">
      <alignment horizontal="center" vertical="center" wrapText="1"/>
      <protection locked="0"/>
    </xf>
    <xf numFmtId="0" fontId="7" fillId="9" borderId="11" xfId="0" applyFont="1" applyFill="1" applyBorder="1" applyAlignment="1" applyProtection="1">
      <alignment horizontal="center" vertical="center" wrapText="1"/>
      <protection locked="0"/>
    </xf>
    <xf numFmtId="0" fontId="22" fillId="10" borderId="35" xfId="0" applyFont="1" applyFill="1" applyBorder="1" applyAlignment="1" applyProtection="1">
      <alignment horizontal="center" vertical="center"/>
      <protection locked="0"/>
    </xf>
    <xf numFmtId="0" fontId="22" fillId="10" borderId="36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Border="1" applyAlignment="1" applyProtection="1">
      <alignment horizontal="left" vertical="center"/>
      <protection locked="0"/>
    </xf>
    <xf numFmtId="0" fontId="27" fillId="7" borderId="0" xfId="0" applyFont="1" applyFill="1" applyAlignment="1" applyProtection="1">
      <alignment horizontal="left" vertical="center"/>
      <protection locked="0"/>
    </xf>
    <xf numFmtId="0" fontId="23" fillId="7" borderId="0" xfId="0" applyFont="1" applyFill="1" applyBorder="1" applyAlignment="1" applyProtection="1">
      <alignment horizontal="center" vertical="center"/>
      <protection locked="0"/>
    </xf>
    <xf numFmtId="14" fontId="5" fillId="4" borderId="14" xfId="0" applyNumberFormat="1" applyFont="1" applyFill="1" applyBorder="1" applyAlignment="1" applyProtection="1">
      <alignment horizontal="center" vertical="center"/>
      <protection locked="0"/>
    </xf>
    <xf numFmtId="14" fontId="5" fillId="4" borderId="29" xfId="0" applyNumberFormat="1" applyFont="1" applyFill="1" applyBorder="1" applyAlignment="1" applyProtection="1">
      <alignment horizontal="center" vertical="center"/>
      <protection locked="0"/>
    </xf>
    <xf numFmtId="14" fontId="5" fillId="4" borderId="12" xfId="0" applyNumberFormat="1" applyFont="1" applyFill="1" applyBorder="1" applyAlignment="1" applyProtection="1">
      <alignment horizontal="center" vertical="center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0" fontId="22" fillId="3" borderId="30" xfId="0" applyFont="1" applyFill="1" applyBorder="1" applyAlignment="1" applyProtection="1">
      <alignment horizontal="right" vertical="center"/>
      <protection locked="0"/>
    </xf>
    <xf numFmtId="0" fontId="22" fillId="3" borderId="19" xfId="0" applyFont="1" applyFill="1" applyBorder="1" applyAlignment="1" applyProtection="1">
      <alignment horizontal="right" vertical="center"/>
      <protection locked="0"/>
    </xf>
    <xf numFmtId="166" fontId="22" fillId="3" borderId="19" xfId="0" applyNumberFormat="1" applyFont="1" applyFill="1" applyBorder="1" applyAlignment="1" applyProtection="1">
      <alignment horizontal="left" vertical="center"/>
      <protection locked="0"/>
    </xf>
    <xf numFmtId="166" fontId="22" fillId="3" borderId="17" xfId="0" applyNumberFormat="1" applyFont="1" applyFill="1" applyBorder="1" applyAlignment="1" applyProtection="1">
      <alignment horizontal="left" vertical="center"/>
      <protection locked="0"/>
    </xf>
    <xf numFmtId="0" fontId="4" fillId="8" borderId="13" xfId="0" applyFont="1" applyFill="1" applyBorder="1" applyAlignment="1" applyProtection="1">
      <alignment horizontal="center" vertical="center" wrapText="1"/>
      <protection locked="0"/>
    </xf>
    <xf numFmtId="0" fontId="4" fillId="8" borderId="22" xfId="0" applyFont="1" applyFill="1" applyBorder="1" applyAlignment="1" applyProtection="1">
      <alignment horizontal="center" vertical="center" wrapText="1"/>
      <protection locked="0"/>
    </xf>
    <xf numFmtId="0" fontId="4" fillId="8" borderId="11" xfId="0" applyFont="1" applyFill="1" applyBorder="1" applyAlignment="1" applyProtection="1">
      <alignment horizontal="center" vertical="center" wrapText="1"/>
      <protection locked="0"/>
    </xf>
    <xf numFmtId="0" fontId="7" fillId="3" borderId="16" xfId="0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 applyProtection="1">
      <alignment horizontal="center" vertical="center"/>
      <protection locked="0"/>
    </xf>
    <xf numFmtId="0" fontId="7" fillId="3" borderId="17" xfId="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Border="1" applyAlignment="1" applyProtection="1">
      <alignment horizontal="center" vertical="center"/>
      <protection locked="0"/>
    </xf>
    <xf numFmtId="0" fontId="5" fillId="5" borderId="9" xfId="0" applyFont="1" applyFill="1" applyBorder="1" applyAlignment="1" applyProtection="1">
      <alignment horizontal="center" vertical="center"/>
      <protection locked="0"/>
    </xf>
    <xf numFmtId="0" fontId="5" fillId="5" borderId="8" xfId="0" applyFont="1" applyFill="1" applyBorder="1" applyAlignment="1" applyProtection="1">
      <alignment horizontal="left" vertical="center" wrapText="1"/>
      <protection locked="0"/>
    </xf>
    <xf numFmtId="9" fontId="3" fillId="5" borderId="8" xfId="1" applyFont="1" applyFill="1" applyBorder="1" applyAlignment="1" applyProtection="1">
      <alignment horizontal="center" vertical="center"/>
      <protection locked="0"/>
    </xf>
    <xf numFmtId="9" fontId="3" fillId="5" borderId="8" xfId="1" applyFont="1" applyFill="1" applyBorder="1" applyAlignment="1" applyProtection="1">
      <alignment horizontal="center" vertical="center"/>
      <protection hidden="1"/>
    </xf>
    <xf numFmtId="14" fontId="4" fillId="5" borderId="8" xfId="0" applyNumberFormat="1" applyFont="1" applyFill="1" applyBorder="1" applyAlignment="1" applyProtection="1">
      <alignment horizontal="center" vertical="center"/>
      <protection hidden="1"/>
    </xf>
    <xf numFmtId="14" fontId="4" fillId="5" borderId="8" xfId="0" applyNumberFormat="1" applyFont="1" applyFill="1" applyBorder="1" applyAlignment="1" applyProtection="1">
      <alignment horizontal="center" vertical="center"/>
      <protection locked="0"/>
    </xf>
    <xf numFmtId="14" fontId="3" fillId="5" borderId="8" xfId="0" applyNumberFormat="1" applyFont="1" applyFill="1" applyBorder="1" applyAlignment="1" applyProtection="1">
      <alignment horizontal="center" vertical="center"/>
      <protection hidden="1"/>
    </xf>
    <xf numFmtId="14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5" borderId="21" xfId="0" applyFont="1" applyFill="1" applyBorder="1" applyAlignment="1" applyProtection="1">
      <alignment horizontal="center" vertical="center"/>
      <protection hidden="1"/>
    </xf>
    <xf numFmtId="0" fontId="3" fillId="5" borderId="8" xfId="0" applyFont="1" applyFill="1" applyBorder="1" applyAlignment="1" applyProtection="1">
      <alignment horizontal="center" vertical="center"/>
      <protection locked="0"/>
    </xf>
    <xf numFmtId="3" fontId="4" fillId="5" borderId="8" xfId="0" applyNumberFormat="1" applyFont="1" applyFill="1" applyBorder="1" applyAlignment="1" applyProtection="1">
      <alignment horizontal="center" vertical="center"/>
      <protection hidden="1"/>
    </xf>
    <xf numFmtId="3" fontId="4" fillId="5" borderId="8" xfId="0" applyNumberFormat="1" applyFont="1" applyFill="1" applyBorder="1" applyAlignment="1" applyProtection="1">
      <alignment horizontal="center" vertical="center"/>
      <protection locked="0"/>
    </xf>
    <xf numFmtId="0" fontId="19" fillId="5" borderId="7" xfId="0" applyFont="1" applyFill="1" applyBorder="1" applyAlignment="1" applyProtection="1">
      <alignment horizontal="center" vertical="center"/>
      <protection hidden="1"/>
    </xf>
    <xf numFmtId="0" fontId="19" fillId="5" borderId="6" xfId="0" applyFont="1" applyFill="1" applyBorder="1" applyAlignment="1" applyProtection="1">
      <alignment horizontal="center" vertical="center"/>
      <protection hidden="1"/>
    </xf>
    <xf numFmtId="0" fontId="19" fillId="5" borderId="32" xfId="0" applyFont="1" applyFill="1" applyBorder="1" applyAlignment="1" applyProtection="1">
      <alignment horizontal="center" vertical="center"/>
      <protection hidden="1"/>
    </xf>
    <xf numFmtId="0" fontId="19" fillId="5" borderId="5" xfId="0" applyFont="1" applyFill="1" applyBorder="1" applyAlignment="1" applyProtection="1">
      <alignment horizontal="center" vertical="center"/>
      <protection hidden="1"/>
    </xf>
    <xf numFmtId="0" fontId="19" fillId="5" borderId="4" xfId="0" applyFont="1" applyFill="1" applyBorder="1" applyAlignment="1" applyProtection="1">
      <alignment horizontal="center" vertical="center"/>
      <protection hidden="1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4" fillId="5" borderId="9" xfId="0" applyFont="1" applyFill="1" applyBorder="1" applyAlignment="1" applyProtection="1">
      <alignment horizontal="center" vertical="center"/>
      <protection locked="0"/>
    </xf>
    <xf numFmtId="0" fontId="4" fillId="5" borderId="8" xfId="0" applyFont="1" applyFill="1" applyBorder="1" applyAlignment="1" applyProtection="1">
      <alignment horizontal="left" vertical="center" wrapText="1"/>
      <protection locked="0"/>
    </xf>
    <xf numFmtId="0" fontId="4" fillId="5" borderId="0" xfId="0" applyFont="1" applyFill="1" applyBorder="1" applyAlignment="1" applyProtection="1">
      <alignment horizontal="center" vertical="center"/>
      <protection locked="0"/>
    </xf>
    <xf numFmtId="9" fontId="4" fillId="5" borderId="8" xfId="1" applyFont="1" applyFill="1" applyBorder="1" applyAlignment="1" applyProtection="1">
      <alignment horizontal="center" vertical="center"/>
      <protection locked="0"/>
    </xf>
    <xf numFmtId="9" fontId="4" fillId="5" borderId="8" xfId="1" applyFont="1" applyFill="1" applyBorder="1" applyAlignment="1" applyProtection="1">
      <alignment horizontal="center" vertical="center"/>
      <protection hidden="1"/>
    </xf>
    <xf numFmtId="0" fontId="4" fillId="5" borderId="8" xfId="0" applyFont="1" applyFill="1" applyBorder="1" applyAlignment="1" applyProtection="1">
      <alignment horizontal="center" vertical="center" wrapText="1"/>
      <protection hidden="1"/>
    </xf>
    <xf numFmtId="0" fontId="28" fillId="5" borderId="7" xfId="0" applyFont="1" applyFill="1" applyBorder="1" applyAlignment="1" applyProtection="1">
      <alignment horizontal="center" vertical="center"/>
      <protection hidden="1"/>
    </xf>
    <xf numFmtId="0" fontId="28" fillId="5" borderId="6" xfId="0" applyFont="1" applyFill="1" applyBorder="1" applyAlignment="1" applyProtection="1">
      <alignment horizontal="center" vertical="center"/>
      <protection hidden="1"/>
    </xf>
    <xf numFmtId="0" fontId="28" fillId="5" borderId="32" xfId="0" applyFont="1" applyFill="1" applyBorder="1" applyAlignment="1" applyProtection="1">
      <alignment horizontal="center" vertical="center"/>
      <protection hidden="1"/>
    </xf>
    <xf numFmtId="0" fontId="28" fillId="5" borderId="5" xfId="0" applyFont="1" applyFill="1" applyBorder="1" applyAlignment="1" applyProtection="1">
      <alignment horizontal="center" vertical="center"/>
      <protection hidden="1"/>
    </xf>
    <xf numFmtId="0" fontId="28" fillId="5" borderId="4" xfId="0" applyFont="1" applyFill="1" applyBorder="1" applyAlignment="1" applyProtection="1">
      <alignment horizontal="center" vertical="center"/>
      <protection hidden="1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3" fillId="3" borderId="0" xfId="0" applyFont="1" applyFill="1" applyBorder="1" applyAlignment="1" applyProtection="1">
      <alignment horizontal="center" vertical="center"/>
      <protection locked="0"/>
    </xf>
    <xf numFmtId="9" fontId="3" fillId="3" borderId="33" xfId="1" applyFont="1" applyFill="1" applyBorder="1" applyAlignment="1" applyProtection="1">
      <alignment horizontal="center" vertical="center"/>
      <protection locked="0"/>
    </xf>
    <xf numFmtId="9" fontId="3" fillId="3" borderId="8" xfId="1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hidden="1"/>
    </xf>
    <xf numFmtId="0" fontId="3" fillId="3" borderId="8" xfId="0" applyFont="1" applyFill="1" applyBorder="1" applyAlignment="1" applyProtection="1">
      <alignment horizontal="center" vertical="center"/>
      <protection locked="0"/>
    </xf>
    <xf numFmtId="3" fontId="4" fillId="3" borderId="8" xfId="0" applyNumberFormat="1" applyFont="1" applyFill="1" applyBorder="1" applyAlignment="1" applyProtection="1">
      <alignment horizontal="center" vertical="center"/>
      <protection hidden="1"/>
    </xf>
    <xf numFmtId="3" fontId="4" fillId="3" borderId="8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 applyProtection="1">
      <alignment horizontal="center" vertical="center"/>
      <protection hidden="1"/>
    </xf>
    <xf numFmtId="0" fontId="19" fillId="3" borderId="6" xfId="0" applyFont="1" applyFill="1" applyBorder="1" applyAlignment="1" applyProtection="1">
      <alignment horizontal="center" vertical="center"/>
      <protection hidden="1"/>
    </xf>
    <xf numFmtId="0" fontId="19" fillId="3" borderId="32" xfId="0" applyFont="1" applyFill="1" applyBorder="1" applyAlignment="1" applyProtection="1">
      <alignment horizontal="center" vertical="center"/>
      <protection hidden="1"/>
    </xf>
    <xf numFmtId="0" fontId="19" fillId="3" borderId="5" xfId="0" applyFont="1" applyFill="1" applyBorder="1" applyAlignment="1" applyProtection="1">
      <alignment horizontal="center" vertical="center"/>
      <protection hidden="1"/>
    </xf>
    <xf numFmtId="0" fontId="19" fillId="3" borderId="4" xfId="0" applyFont="1" applyFill="1" applyBorder="1" applyAlignment="1" applyProtection="1">
      <alignment horizontal="center" vertical="center"/>
      <protection hidden="1"/>
    </xf>
    <xf numFmtId="0" fontId="3" fillId="3" borderId="1" xfId="0" applyFont="1" applyFill="1" applyBorder="1" applyAlignment="1" applyProtection="1">
      <alignment horizontal="center" vertical="center"/>
      <protection locked="0"/>
    </xf>
  </cellXfs>
  <cellStyles count="3">
    <cellStyle name="Comma" xfId="2" builtinId="3"/>
    <cellStyle name="Normal" xfId="0" builtinId="0"/>
    <cellStyle name="Percent" xfId="1" builtinId="5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hair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hair">
          <color auto="1"/>
        </right>
        <top style="thin">
          <color auto="1"/>
        </top>
        <bottom style="thin">
          <color auto="1"/>
        </bottom>
        <vertical style="hair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  <protection locked="1" hidden="1"/>
    </dxf>
    <dxf>
      <border outline="0">
        <left style="thin">
          <color auto="1"/>
        </left>
        <right style="thin">
          <color auto="1"/>
        </right>
        <bottom style="double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</border>
      <protection locked="1" hidden="1"/>
    </dxf>
    <dxf>
      <fill>
        <gradientFill degree="90">
          <stop position="0">
            <color theme="0"/>
          </stop>
          <stop position="1">
            <color rgb="FFC5F8BE"/>
          </stop>
        </gradientFill>
      </fill>
    </dxf>
    <dxf>
      <fill>
        <gradientFill degree="90">
          <stop position="0">
            <color theme="0"/>
          </stop>
          <stop position="1">
            <color rgb="FFFF7C80"/>
          </stop>
        </gradientFill>
      </fill>
    </dxf>
    <dxf>
      <fill>
        <gradientFill degree="90">
          <stop position="0">
            <color theme="0"/>
          </stop>
          <stop position="1">
            <color rgb="FFC5F8BE"/>
          </stop>
        </gradientFill>
      </fill>
    </dxf>
    <dxf>
      <fill>
        <gradientFill degree="90">
          <stop position="0">
            <color theme="0"/>
          </stop>
          <stop position="1">
            <color rgb="FFFF7C8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0"/>
        </pattern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B0F0"/>
          </stop>
        </gradientFill>
      </fill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patternFill>
          <bgColor theme="0"/>
        </patternFill>
      </fill>
    </dxf>
    <dxf>
      <fill>
        <gradientFill degree="90">
          <stop position="0">
            <color theme="0"/>
          </stop>
          <stop position="1">
            <color rgb="FFFFC000"/>
          </stop>
        </gradientFill>
      </fill>
    </dxf>
    <dxf>
      <fill>
        <gradientFill degree="90">
          <stop position="0">
            <color theme="0"/>
          </stop>
          <stop position="1">
            <color rgb="FF0066FF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0"/>
          </stop>
          <stop position="1">
            <color rgb="FFFF0000"/>
          </stop>
        </gradientFill>
      </fill>
    </dxf>
    <dxf>
      <fill>
        <gradientFill>
          <stop position="0">
            <color theme="0"/>
          </stop>
          <stop position="1">
            <color rgb="FFFFFF00"/>
          </stop>
        </gradientFill>
      </fill>
    </dxf>
    <dxf>
      <fill>
        <gradientFill>
          <stop position="0">
            <color theme="0"/>
          </stop>
          <stop position="1">
            <color rgb="FF00B050"/>
          </stop>
        </gradientFill>
      </fill>
    </dxf>
    <dxf>
      <fill>
        <gradientFill>
          <stop position="0">
            <color theme="6" tint="0.80001220740379042"/>
          </stop>
          <stop position="1">
            <color theme="3" tint="0.40000610370189521"/>
          </stop>
        </gradientFill>
      </fill>
    </dxf>
  </dxfs>
  <tableStyles count="0" defaultPivotStyle="PivotStyleLight16"/>
  <colors>
    <mruColors>
      <color rgb="FFF61F08"/>
      <color rgb="FF66FF99"/>
      <color rgb="FFD4FCF7"/>
      <color rgb="FFF8F8F8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Ti&#7871;n%20&#273;&#7897;%20thi%20c&#244;ng%20t&#7893;ng%20th&#7875;%20c&#225;c%20khu%20v&#7921;c.xlsx" TargetMode="External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57151</xdr:colOff>
      <xdr:row>0</xdr:row>
      <xdr:rowOff>47624</xdr:rowOff>
    </xdr:from>
    <xdr:to>
      <xdr:col>4</xdr:col>
      <xdr:colOff>2662060</xdr:colOff>
      <xdr:row>2</xdr:row>
      <xdr:rowOff>18142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1" y="47624"/>
          <a:ext cx="3049409" cy="777875"/>
        </a:xfrm>
        <a:prstGeom prst="rect">
          <a:avLst/>
        </a:prstGeom>
      </xdr:spPr>
    </xdr:pic>
    <xdr:clientData/>
  </xdr:twoCellAnchor>
  <xdr:twoCellAnchor>
    <xdr:from>
      <xdr:col>14</xdr:col>
      <xdr:colOff>13856</xdr:colOff>
      <xdr:row>142</xdr:row>
      <xdr:rowOff>0</xdr:rowOff>
    </xdr:from>
    <xdr:to>
      <xdr:col>50</xdr:col>
      <xdr:colOff>540328</xdr:colOff>
      <xdr:row>191</xdr:row>
      <xdr:rowOff>304800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pSpPr/>
      </xdr:nvGrpSpPr>
      <xdr:grpSpPr>
        <a:xfrm>
          <a:off x="9265432" y="50318894"/>
          <a:ext cx="8020967" cy="10363200"/>
          <a:chOff x="7646830" y="16791662"/>
          <a:chExt cx="8721621" cy="6850188"/>
        </a:xfrm>
      </xdr:grpSpPr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xmlns="" id="{00000000-0008-0000-0000-000005000000}"/>
              </a:ext>
            </a:extLst>
          </xdr:cNvPr>
          <xdr:cNvCxnSpPr/>
        </xdr:nvCxnSpPr>
        <xdr:spPr>
          <a:xfrm>
            <a:off x="7647585" y="23641018"/>
            <a:ext cx="8720866" cy="0"/>
          </a:xfrm>
          <a:prstGeom prst="straightConnector1">
            <a:avLst/>
          </a:prstGeom>
          <a:ln w="28575">
            <a:solidFill>
              <a:schemeClr val="tx1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Arrow Connector 6">
            <a:extLst>
              <a:ext uri="{FF2B5EF4-FFF2-40B4-BE49-F238E27FC236}">
                <a16:creationId xmlns:a16="http://schemas.microsoft.com/office/drawing/2014/main" xmlns="" id="{00000000-0008-0000-0000-000007000000}"/>
              </a:ext>
            </a:extLst>
          </xdr:cNvPr>
          <xdr:cNvCxnSpPr/>
        </xdr:nvCxnSpPr>
        <xdr:spPr>
          <a:xfrm flipV="1">
            <a:off x="7646830" y="16791662"/>
            <a:ext cx="0" cy="6850188"/>
          </a:xfrm>
          <a:prstGeom prst="straightConnector1">
            <a:avLst/>
          </a:prstGeom>
          <a:ln w="28575">
            <a:solidFill>
              <a:sysClr val="windowText" lastClr="00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51</xdr:col>
      <xdr:colOff>32700</xdr:colOff>
      <xdr:row>0</xdr:row>
      <xdr:rowOff>2105</xdr:rowOff>
    </xdr:from>
    <xdr:to>
      <xdr:col>55</xdr:col>
      <xdr:colOff>171824</xdr:colOff>
      <xdr:row>2</xdr:row>
      <xdr:rowOff>207818</xdr:rowOff>
    </xdr:to>
    <xdr:sp macro="" textlink="">
      <xdr:nvSpPr>
        <xdr:cNvPr id="4" name="Bevel 3">
          <a:hlinkClick xmlns:r="http://schemas.openxmlformats.org/officeDocument/2006/relationships" r:id="rId2" tooltip="Tràn Trưởng"/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18612053" y="2105"/>
          <a:ext cx="3000359" cy="1012537"/>
        </a:xfrm>
        <a:prstGeom prst="beve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eaLnBrk="1" fontAlgn="auto" latinLnBrk="0" hangingPunct="1"/>
          <a:r>
            <a:rPr lang="en-US" sz="1600">
              <a:solidFill>
                <a:schemeClr val="lt1"/>
              </a:solidFill>
              <a:effectLst/>
              <a:latin typeface="Times New Roman" pitchFamily="18" charset="0"/>
              <a:ea typeface="Tahoma" pitchFamily="34" charset="0"/>
              <a:cs typeface="Times New Roman" pitchFamily="18" charset="0"/>
            </a:rPr>
            <a:t>QUAY</a:t>
          </a:r>
          <a:r>
            <a:rPr lang="en-US" sz="1600" baseline="0">
              <a:solidFill>
                <a:schemeClr val="lt1"/>
              </a:solidFill>
              <a:effectLst/>
              <a:latin typeface="Times New Roman" pitchFamily="18" charset="0"/>
              <a:ea typeface="Tahoma" pitchFamily="34" charset="0"/>
              <a:cs typeface="Times New Roman" pitchFamily="18" charset="0"/>
            </a:rPr>
            <a:t> LẠI TIẾN ĐỘ TỔNG THỂ CÁC KHU VỰC</a:t>
          </a:r>
          <a:endParaRPr lang="en-US" sz="1600">
            <a:effectLst/>
            <a:latin typeface="Times New Roman" pitchFamily="18" charset="0"/>
            <a:ea typeface="Tahoma" pitchFamily="34" charset="0"/>
            <a:cs typeface="Times New Roman" pitchFamily="18" charset="0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</xdr:colOff>
          <xdr:row>198</xdr:row>
          <xdr:rowOff>38100</xdr:rowOff>
        </xdr:from>
        <xdr:to>
          <xdr:col>20</xdr:col>
          <xdr:colOff>99060</xdr:colOff>
          <xdr:row>199</xdr:row>
          <xdr:rowOff>167640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6" name="Table6" displayName="Table6" ref="P18:AX141" totalsRowShown="0" headerRowDxfId="37" dataDxfId="36" tableBorderDxfId="35">
  <autoFilter ref="P18:AX141"/>
  <tableColumns count="35">
    <tableColumn id="1" name="Column1" dataDxfId="34">
      <calculatedColumnFormula>+IF(AND(P$16&gt;=$I19,P$16&lt;=$K19),"",0)</calculatedColumnFormula>
    </tableColumn>
    <tableColumn id="2" name="Column2" dataDxfId="33">
      <calculatedColumnFormula>+IF(AND(Q$16&gt;=$I19,Q$16&lt;=$K19),"",0)</calculatedColumnFormula>
    </tableColumn>
    <tableColumn id="3" name="Column3" dataDxfId="32">
      <calculatedColumnFormula>+IF(AND(R$16&gt;=$I19,R$16&lt;=$K19),"",0)</calculatedColumnFormula>
    </tableColumn>
    <tableColumn id="4" name="Column4" dataDxfId="31">
      <calculatedColumnFormula>+IF(AND(S$16&gt;=$I19,S$16&lt;=$K19),"",0)</calculatedColumnFormula>
    </tableColumn>
    <tableColumn id="5" name="Column5" dataDxfId="30">
      <calculatedColumnFormula>+IF(AND(T$16&gt;=$I19,T$16&lt;=$K19),"",0)</calculatedColumnFormula>
    </tableColumn>
    <tableColumn id="6" name="Column6" dataDxfId="29">
      <calculatedColumnFormula>+IF(AND(U$16&gt;=$I19,U$16&lt;=$K19),"",0)</calculatedColumnFormula>
    </tableColumn>
    <tableColumn id="7" name="Column7" dataDxfId="28">
      <calculatedColumnFormula>+IF(AND(V$16&gt;=$I19,V$16&lt;=$K19),"",0)</calculatedColumnFormula>
    </tableColumn>
    <tableColumn id="8" name="Column8" dataDxfId="27">
      <calculatedColumnFormula>+IF(AND(W$16&gt;=$I19,W$16&lt;=$K19),"",0)</calculatedColumnFormula>
    </tableColumn>
    <tableColumn id="9" name="Column9" dataDxfId="26">
      <calculatedColumnFormula>+IF(AND(X$16&gt;=$I19,X$16&lt;=$K19),"",0)</calculatedColumnFormula>
    </tableColumn>
    <tableColumn id="10" name="Column10" dataDxfId="25">
      <calculatedColumnFormula>+IF(AND(Y$16&gt;=$I19,Y$16&lt;=$K19),"",0)</calculatedColumnFormula>
    </tableColumn>
    <tableColumn id="11" name="Column11" dataDxfId="24">
      <calculatedColumnFormula>+IF(AND(Z$16&gt;=$I19,Z$16&lt;=$K19),"",0)</calculatedColumnFormula>
    </tableColumn>
    <tableColumn id="12" name="Column12" dataDxfId="23">
      <calculatedColumnFormula>+IF(AND(AA$16&gt;=$I19,AA$16&lt;=$K19),"",0)</calculatedColumnFormula>
    </tableColumn>
    <tableColumn id="13" name="Column13" dataDxfId="22">
      <calculatedColumnFormula>+IF(AND(AB$16&gt;=$I19,AB$16&lt;=$K19),"",0)</calculatedColumnFormula>
    </tableColumn>
    <tableColumn id="14" name="Column14" dataDxfId="21">
      <calculatedColumnFormula>+IF(AND(AC$16&gt;=$I19,AC$16&lt;=$K19),"",0)</calculatedColumnFormula>
    </tableColumn>
    <tableColumn id="15" name="Column15" dataDxfId="20">
      <calculatedColumnFormula>+IF(AND(AD$16&gt;=$I19,AD$16&lt;=$K19),"",0)</calculatedColumnFormula>
    </tableColumn>
    <tableColumn id="16" name="Column16" dataDxfId="19">
      <calculatedColumnFormula>+IF(AND(AE$16&gt;=$I19,AE$16&lt;=$K19),"",0)</calculatedColumnFormula>
    </tableColumn>
    <tableColumn id="17" name="Column17" dataDxfId="18">
      <calculatedColumnFormula>+IF(AND(AF$16&gt;=$I19,AF$16&lt;=$K19),"",0)</calculatedColumnFormula>
    </tableColumn>
    <tableColumn id="18" name="Column18" dataDxfId="17">
      <calculatedColumnFormula>+IF(AND(AG$16&gt;=$I19,AG$16&lt;=$K19),"",0)</calculatedColumnFormula>
    </tableColumn>
    <tableColumn id="19" name="Column19" dataDxfId="16">
      <calculatedColumnFormula>+IF(AND(AH$16&gt;=$I19,AH$16&lt;=$K19),"",0)</calculatedColumnFormula>
    </tableColumn>
    <tableColumn id="20" name="Column20" dataDxfId="15">
      <calculatedColumnFormula>+IF(AND(AI$16&gt;=$I19,AI$16&lt;=$K19),"",0)</calculatedColumnFormula>
    </tableColumn>
    <tableColumn id="21" name="Column21" dataDxfId="14">
      <calculatedColumnFormula>+IF(AND(AJ$16&gt;=$I19,AJ$16&lt;=$K19),"",0)</calculatedColumnFormula>
    </tableColumn>
    <tableColumn id="22" name="Column22" dataDxfId="13">
      <calculatedColumnFormula>+IF(AND(AK$16&gt;=$I19,AK$16&lt;=$K19),"",0)</calculatedColumnFormula>
    </tableColumn>
    <tableColumn id="23" name="Column23" dataDxfId="12">
      <calculatedColumnFormula>+IF(AND(AL$16&gt;=$I19,AL$16&lt;=$K19),"",0)</calculatedColumnFormula>
    </tableColumn>
    <tableColumn id="24" name="Column24" dataDxfId="11">
      <calculatedColumnFormula>+IF(AND(AM$16&gt;=$I19,AM$16&lt;=$K19),"",0)</calculatedColumnFormula>
    </tableColumn>
    <tableColumn id="25" name="Column25" dataDxfId="10">
      <calculatedColumnFormula>+IF(AND(AN$16&gt;=$I19,AN$16&lt;=$K19),"",0)</calculatedColumnFormula>
    </tableColumn>
    <tableColumn id="26" name="Column26" dataDxfId="9">
      <calculatedColumnFormula>+IF(AND(AO$16&gt;=$I19,AO$16&lt;=$K19),"",0)</calculatedColumnFormula>
    </tableColumn>
    <tableColumn id="27" name="Column27" dataDxfId="8">
      <calculatedColumnFormula>+IF(AND(AP$16&gt;=$I19,AP$16&lt;=$K19),"",0)</calculatedColumnFormula>
    </tableColumn>
    <tableColumn id="28" name="Column28" dataDxfId="7">
      <calculatedColumnFormula>+IF(AND(AQ$16&gt;=$I19,AQ$16&lt;=$K19),"",0)</calculatedColumnFormula>
    </tableColumn>
    <tableColumn id="29" name="Column29" dataDxfId="6">
      <calculatedColumnFormula>+IF(AND(AR$16&gt;=$I19,AR$16&lt;=$K19),"",0)</calculatedColumnFormula>
    </tableColumn>
    <tableColumn id="30" name="Column30" dataDxfId="5">
      <calculatedColumnFormula>+IF(AND(AS$16&gt;=$I19,AS$16&lt;=$K19),"",0)</calculatedColumnFormula>
    </tableColumn>
    <tableColumn id="31" name="Column31" dataDxfId="4">
      <calculatedColumnFormula>+IF(AND(AT$16&gt;=$I19,AT$16&lt;=$K19),"",0)</calculatedColumnFormula>
    </tableColumn>
    <tableColumn id="32" name="Column32" dataDxfId="3">
      <calculatedColumnFormula>+IF(AND(AU$16&gt;=$I19,AU$16&lt;=$K19),"",0)</calculatedColumnFormula>
    </tableColumn>
    <tableColumn id="33" name="Column33" dataDxfId="2">
      <calculatedColumnFormula>+IF(AND(AV$16&gt;=$I19,AV$16&lt;=$K19),"",0)</calculatedColumnFormula>
    </tableColumn>
    <tableColumn id="34" name="Column34" dataDxfId="1">
      <calculatedColumnFormula>+IF(AND(AW$16&gt;=$I19,AW$16&lt;=$K19),"",0)</calculatedColumnFormula>
    </tableColumn>
    <tableColumn id="35" name="Column35" dataDxfId="0">
      <calculatedColumnFormula>+IF(AND(AX$16&gt;=$I19,AX$16&lt;=$K19),"",0)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BA196"/>
  <sheetViews>
    <sheetView showGridLines="0" tabSelected="1" view="pageBreakPreview" topLeftCell="D8" zoomScale="85" zoomScaleNormal="85" zoomScaleSheetLayoutView="85" zoomScalePageLayoutView="40" workbookViewId="0">
      <selection activeCell="E20" sqref="E20"/>
    </sheetView>
  </sheetViews>
  <sheetFormatPr defaultColWidth="8.88671875" defaultRowHeight="13.8" outlineLevelRow="1" x14ac:dyDescent="0.3"/>
  <cols>
    <col min="1" max="1" width="15.44140625" style="1" hidden="1" customWidth="1"/>
    <col min="2" max="2" width="25.44140625" style="1" hidden="1" customWidth="1"/>
    <col min="3" max="3" width="10.88671875" style="1" hidden="1" customWidth="1"/>
    <col min="4" max="4" width="6.44140625" style="1" customWidth="1"/>
    <col min="5" max="5" width="48.109375" style="1" customWidth="1"/>
    <col min="6" max="6" width="9.88671875" style="1" customWidth="1"/>
    <col min="7" max="7" width="7.5546875" style="1" customWidth="1"/>
    <col min="8" max="8" width="10.109375" style="1" bestFit="1" customWidth="1"/>
    <col min="9" max="9" width="11" style="1" customWidth="1"/>
    <col min="10" max="10" width="10.109375" style="1" customWidth="1"/>
    <col min="11" max="11" width="10.109375" style="7" customWidth="1"/>
    <col min="12" max="12" width="7.109375" style="7" customWidth="1"/>
    <col min="13" max="13" width="7.109375" style="1" customWidth="1"/>
    <col min="14" max="15" width="7.5546875" style="1" customWidth="1"/>
    <col min="16" max="38" width="2.88671875" style="1" customWidth="1"/>
    <col min="39" max="39" width="3.88671875" style="1" customWidth="1"/>
    <col min="40" max="50" width="2.88671875" style="1" customWidth="1"/>
    <col min="51" max="51" width="24.88671875" style="1" customWidth="1"/>
    <col min="52" max="52" width="8.88671875" style="1"/>
    <col min="53" max="53" width="14.44140625" style="1" bestFit="1" customWidth="1"/>
    <col min="54" max="16384" width="8.88671875" style="1"/>
  </cols>
  <sheetData>
    <row r="1" spans="1:53" ht="24.9" customHeight="1" x14ac:dyDescent="0.25"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53" ht="39" customHeight="1" x14ac:dyDescent="0.3">
      <c r="J2" s="87" t="s">
        <v>65</v>
      </c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</row>
    <row r="3" spans="1:53" ht="24.9" customHeight="1" x14ac:dyDescent="0.25"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</row>
    <row r="4" spans="1:53" ht="24.9" customHeight="1" x14ac:dyDescent="0.25">
      <c r="D4" s="1" t="s">
        <v>62</v>
      </c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53" s="2" customFormat="1" ht="24.9" customHeight="1" x14ac:dyDescent="0.3">
      <c r="D5" s="3" t="s">
        <v>75</v>
      </c>
      <c r="K5" s="4"/>
      <c r="L5" s="4"/>
    </row>
    <row r="6" spans="1:53" s="2" customFormat="1" ht="24.9" customHeight="1" x14ac:dyDescent="0.3">
      <c r="D6" s="3" t="s">
        <v>76</v>
      </c>
      <c r="K6" s="4"/>
      <c r="L6" s="4"/>
    </row>
    <row r="7" spans="1:53" s="2" customFormat="1" ht="24.9" customHeight="1" x14ac:dyDescent="0.3">
      <c r="D7" s="3" t="s">
        <v>77</v>
      </c>
      <c r="J7" s="38"/>
      <c r="K7" s="39"/>
      <c r="L7" s="39"/>
      <c r="M7" s="38"/>
      <c r="N7" s="38"/>
      <c r="O7" s="38"/>
      <c r="P7" s="38"/>
      <c r="BA7" s="82">
        <f>16000*500</f>
        <v>8000000</v>
      </c>
    </row>
    <row r="8" spans="1:53" s="2" customFormat="1" ht="24.9" customHeight="1" x14ac:dyDescent="0.3">
      <c r="D8" s="3" t="s">
        <v>64</v>
      </c>
      <c r="J8" s="38"/>
      <c r="K8" s="39"/>
      <c r="L8" s="39"/>
      <c r="M8" s="38"/>
      <c r="N8" s="38"/>
      <c r="O8" s="38"/>
      <c r="P8" s="38"/>
      <c r="T8" s="75"/>
      <c r="U8" s="76"/>
      <c r="V8" s="76"/>
      <c r="W8" s="76"/>
      <c r="X8" s="76"/>
      <c r="Y8" s="76"/>
      <c r="Z8" s="76"/>
      <c r="AA8" s="76"/>
      <c r="AB8" s="76"/>
      <c r="AC8" s="84"/>
      <c r="AD8" s="84"/>
      <c r="AE8" s="152"/>
      <c r="AF8" s="152"/>
      <c r="AG8" s="152"/>
      <c r="AH8" s="152"/>
      <c r="AI8" s="152"/>
      <c r="AJ8" s="152"/>
      <c r="AK8" s="152"/>
      <c r="AL8" s="152"/>
      <c r="AM8" s="154"/>
      <c r="AN8" s="154"/>
      <c r="AO8" s="154"/>
      <c r="AP8" s="154"/>
      <c r="AQ8" s="73" t="e">
        <v>#N/A</v>
      </c>
      <c r="AR8" s="76"/>
      <c r="AS8" s="76"/>
      <c r="AT8" s="76"/>
      <c r="AU8" s="76"/>
      <c r="AV8" s="76"/>
      <c r="AW8" s="76"/>
      <c r="AX8" s="75"/>
      <c r="AY8" s="75"/>
    </row>
    <row r="9" spans="1:53" s="2" customFormat="1" ht="26.4" customHeight="1" x14ac:dyDescent="0.3">
      <c r="D9" s="3"/>
      <c r="F9" s="32"/>
      <c r="G9" s="32"/>
      <c r="H9" s="33"/>
      <c r="I9" s="43" t="s">
        <v>49</v>
      </c>
      <c r="J9" s="88"/>
      <c r="K9" s="47"/>
      <c r="L9" s="48" t="s">
        <v>45</v>
      </c>
      <c r="M9" s="47"/>
      <c r="N9" s="47"/>
      <c r="O9" s="48" t="s">
        <v>46</v>
      </c>
      <c r="P9" s="33"/>
      <c r="Q9" s="34"/>
      <c r="R9" s="34"/>
      <c r="T9" s="75"/>
      <c r="U9" s="76"/>
      <c r="V9" s="76"/>
      <c r="W9" s="76"/>
      <c r="X9" s="76"/>
      <c r="Y9" s="76"/>
      <c r="Z9" s="76"/>
      <c r="AA9" s="76"/>
      <c r="AB9" s="76"/>
      <c r="AC9" s="76"/>
      <c r="AD9" s="76"/>
      <c r="AE9" s="153"/>
      <c r="AF9" s="153"/>
      <c r="AG9" s="153"/>
      <c r="AH9" s="153"/>
      <c r="AI9" s="153"/>
      <c r="AJ9" s="153"/>
      <c r="AK9" s="153"/>
      <c r="AL9" s="153"/>
      <c r="AM9" s="76"/>
      <c r="AN9" s="76"/>
      <c r="AO9" s="76"/>
      <c r="AP9" s="76"/>
      <c r="AQ9" s="76"/>
      <c r="AR9" s="76"/>
      <c r="AS9" s="76"/>
      <c r="AT9" s="76"/>
      <c r="AU9" s="76"/>
      <c r="AV9" s="76"/>
      <c r="AW9" s="76"/>
      <c r="AX9" s="75"/>
      <c r="AY9" s="75"/>
    </row>
    <row r="10" spans="1:53" ht="31.5" customHeight="1" thickBot="1" x14ac:dyDescent="0.35">
      <c r="F10" s="32"/>
      <c r="G10" s="32"/>
      <c r="H10" s="33"/>
      <c r="I10" s="33"/>
      <c r="J10" s="89"/>
      <c r="K10" s="47"/>
      <c r="L10" s="48" t="s">
        <v>47</v>
      </c>
      <c r="M10" s="47"/>
      <c r="N10" s="47"/>
      <c r="O10" s="48" t="s">
        <v>48</v>
      </c>
      <c r="P10" s="33"/>
      <c r="Q10" s="34"/>
      <c r="R10" s="32"/>
      <c r="T10" s="77"/>
      <c r="U10" s="78"/>
      <c r="V10" s="79"/>
      <c r="W10" s="79"/>
      <c r="X10" s="79"/>
      <c r="Y10" s="79"/>
      <c r="Z10" s="80"/>
      <c r="AA10" s="80"/>
      <c r="AB10" s="80"/>
      <c r="AC10" s="80"/>
      <c r="AD10" s="80"/>
      <c r="AE10" s="83"/>
      <c r="AF10" s="80"/>
      <c r="AG10" s="80"/>
      <c r="AH10" s="80"/>
      <c r="AI10" s="81"/>
      <c r="AJ10" s="80"/>
      <c r="AK10" s="80"/>
      <c r="AL10" s="80"/>
      <c r="AM10" s="80"/>
      <c r="AN10" s="80"/>
      <c r="AO10" s="80"/>
      <c r="AP10" s="80"/>
      <c r="AQ10" s="80"/>
      <c r="AR10" s="80"/>
      <c r="AS10" s="79"/>
      <c r="AT10" s="79"/>
      <c r="AU10" s="79"/>
      <c r="AV10" s="79"/>
      <c r="AW10" s="78"/>
      <c r="AX10" s="77"/>
      <c r="AY10" s="77"/>
    </row>
    <row r="11" spans="1:53" ht="24.9" customHeight="1" thickTop="1" thickBot="1" x14ac:dyDescent="0.35">
      <c r="D11" s="166" t="s">
        <v>2</v>
      </c>
      <c r="E11" s="167"/>
      <c r="F11" s="168"/>
      <c r="G11" s="128">
        <v>43678</v>
      </c>
      <c r="H11" s="126"/>
      <c r="I11" s="29"/>
      <c r="J11" s="5"/>
      <c r="K11" s="6"/>
      <c r="L11" s="6"/>
      <c r="M11" s="5"/>
      <c r="N11" s="5"/>
      <c r="O11" s="5"/>
      <c r="P11" s="5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</row>
    <row r="12" spans="1:53" ht="15.75" hidden="1" customHeight="1" x14ac:dyDescent="0.25">
      <c r="D12" s="41"/>
      <c r="E12" s="42">
        <v>43282</v>
      </c>
      <c r="F12" s="61"/>
      <c r="G12" s="124"/>
      <c r="H12" s="127">
        <f ca="1">+IF(G13&lt;&gt;0,G13,TODAY())</f>
        <v>43712</v>
      </c>
      <c r="I12" s="30"/>
    </row>
    <row r="13" spans="1:53" ht="24.9" customHeight="1" thickTop="1" thickBot="1" x14ac:dyDescent="0.35">
      <c r="D13" s="132" t="s">
        <v>1</v>
      </c>
      <c r="E13" s="133"/>
      <c r="F13" s="134"/>
      <c r="G13" s="125">
        <f>+AX16</f>
        <v>43712</v>
      </c>
      <c r="H13" s="126"/>
      <c r="I13" s="31"/>
      <c r="J13" s="90"/>
      <c r="K13" s="8"/>
      <c r="L13" s="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150" t="s">
        <v>116</v>
      </c>
      <c r="AN13" s="151"/>
      <c r="AO13" s="151"/>
      <c r="AP13" s="151"/>
      <c r="AQ13" s="151"/>
      <c r="AR13" s="151"/>
      <c r="AS13" s="151"/>
      <c r="AT13" s="151"/>
      <c r="AU13" s="151"/>
      <c r="AV13" s="151"/>
      <c r="AW13" s="151"/>
      <c r="AX13" s="151"/>
      <c r="AY13" s="85">
        <f ca="1">+NOW()</f>
        <v>43583.653142824071</v>
      </c>
    </row>
    <row r="14" spans="1:53" ht="24.9" customHeight="1" thickTop="1" x14ac:dyDescent="0.3">
      <c r="D14" s="155" t="s">
        <v>60</v>
      </c>
      <c r="E14" s="144" t="s">
        <v>61</v>
      </c>
      <c r="F14" s="141" t="s">
        <v>63</v>
      </c>
      <c r="G14" s="141" t="s">
        <v>44</v>
      </c>
      <c r="H14" s="147" t="s">
        <v>72</v>
      </c>
      <c r="I14" s="147" t="s">
        <v>50</v>
      </c>
      <c r="J14" s="147" t="s">
        <v>73</v>
      </c>
      <c r="K14" s="147" t="s">
        <v>51</v>
      </c>
      <c r="L14" s="163" t="s">
        <v>52</v>
      </c>
      <c r="M14" s="163" t="s">
        <v>53</v>
      </c>
      <c r="N14" s="163" t="s">
        <v>54</v>
      </c>
      <c r="O14" s="163" t="s">
        <v>55</v>
      </c>
      <c r="P14" s="159" t="s">
        <v>74</v>
      </c>
      <c r="Q14" s="160"/>
      <c r="R14" s="160"/>
      <c r="S14" s="160"/>
      <c r="T14" s="160"/>
      <c r="U14" s="160"/>
      <c r="V14" s="160"/>
      <c r="W14" s="160"/>
      <c r="X14" s="160"/>
      <c r="Y14" s="160"/>
      <c r="Z14" s="160"/>
      <c r="AA14" s="160"/>
      <c r="AB14" s="160"/>
      <c r="AC14" s="160"/>
      <c r="AD14" s="160"/>
      <c r="AE14" s="160"/>
      <c r="AF14" s="160"/>
      <c r="AG14" s="161">
        <f ca="1">+NOW()</f>
        <v>43583.653142824071</v>
      </c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2"/>
      <c r="AY14" s="135" t="s">
        <v>66</v>
      </c>
    </row>
    <row r="15" spans="1:53" ht="20.100000000000001" customHeight="1" x14ac:dyDescent="0.3">
      <c r="A15" s="10"/>
      <c r="B15" s="11"/>
      <c r="C15" s="12"/>
      <c r="D15" s="156"/>
      <c r="E15" s="145"/>
      <c r="F15" s="142"/>
      <c r="G15" s="142"/>
      <c r="H15" s="148"/>
      <c r="I15" s="148"/>
      <c r="J15" s="148"/>
      <c r="K15" s="148"/>
      <c r="L15" s="164"/>
      <c r="M15" s="164"/>
      <c r="N15" s="164"/>
      <c r="O15" s="164"/>
      <c r="P15" s="138" t="s">
        <v>67</v>
      </c>
      <c r="Q15" s="139"/>
      <c r="R15" s="139"/>
      <c r="S15" s="139"/>
      <c r="T15" s="139"/>
      <c r="U15" s="139"/>
      <c r="V15" s="140"/>
      <c r="W15" s="138" t="s">
        <v>68</v>
      </c>
      <c r="X15" s="139"/>
      <c r="Y15" s="139"/>
      <c r="Z15" s="139"/>
      <c r="AA15" s="139"/>
      <c r="AB15" s="139"/>
      <c r="AC15" s="140"/>
      <c r="AD15" s="138" t="s">
        <v>69</v>
      </c>
      <c r="AE15" s="139"/>
      <c r="AF15" s="139"/>
      <c r="AG15" s="139"/>
      <c r="AH15" s="139"/>
      <c r="AI15" s="139"/>
      <c r="AJ15" s="140"/>
      <c r="AK15" s="138" t="s">
        <v>70</v>
      </c>
      <c r="AL15" s="139"/>
      <c r="AM15" s="139"/>
      <c r="AN15" s="139"/>
      <c r="AO15" s="139"/>
      <c r="AP15" s="139"/>
      <c r="AQ15" s="140"/>
      <c r="AR15" s="158" t="s">
        <v>71</v>
      </c>
      <c r="AS15" s="139"/>
      <c r="AT15" s="139"/>
      <c r="AU15" s="139"/>
      <c r="AV15" s="139"/>
      <c r="AW15" s="139"/>
      <c r="AX15" s="140"/>
      <c r="AY15" s="136"/>
    </row>
    <row r="16" spans="1:53" s="17" customFormat="1" ht="42.6" customHeight="1" x14ac:dyDescent="0.3">
      <c r="A16" s="13"/>
      <c r="B16" s="14"/>
      <c r="C16" s="15">
        <f ca="1">+IF($H$12&lt;&gt;"",$H$12,TODAY())</f>
        <v>43712</v>
      </c>
      <c r="D16" s="157"/>
      <c r="E16" s="146"/>
      <c r="F16" s="143"/>
      <c r="G16" s="143"/>
      <c r="H16" s="149"/>
      <c r="I16" s="149"/>
      <c r="J16" s="149"/>
      <c r="K16" s="149"/>
      <c r="L16" s="165"/>
      <c r="M16" s="165"/>
      <c r="N16" s="165"/>
      <c r="O16" s="165"/>
      <c r="P16" s="58">
        <f>G11</f>
        <v>43678</v>
      </c>
      <c r="Q16" s="59">
        <f t="shared" ref="Q16:AX16" si="0">+P16+1</f>
        <v>43679</v>
      </c>
      <c r="R16" s="59">
        <f t="shared" si="0"/>
        <v>43680</v>
      </c>
      <c r="S16" s="59">
        <f t="shared" si="0"/>
        <v>43681</v>
      </c>
      <c r="T16" s="59">
        <f t="shared" si="0"/>
        <v>43682</v>
      </c>
      <c r="U16" s="59">
        <f t="shared" si="0"/>
        <v>43683</v>
      </c>
      <c r="V16" s="60">
        <f t="shared" si="0"/>
        <v>43684</v>
      </c>
      <c r="W16" s="58">
        <f t="shared" si="0"/>
        <v>43685</v>
      </c>
      <c r="X16" s="59">
        <f t="shared" si="0"/>
        <v>43686</v>
      </c>
      <c r="Y16" s="59">
        <f t="shared" si="0"/>
        <v>43687</v>
      </c>
      <c r="Z16" s="59">
        <f t="shared" si="0"/>
        <v>43688</v>
      </c>
      <c r="AA16" s="59">
        <f t="shared" si="0"/>
        <v>43689</v>
      </c>
      <c r="AB16" s="59">
        <f t="shared" si="0"/>
        <v>43690</v>
      </c>
      <c r="AC16" s="60">
        <f t="shared" si="0"/>
        <v>43691</v>
      </c>
      <c r="AD16" s="58">
        <f t="shared" si="0"/>
        <v>43692</v>
      </c>
      <c r="AE16" s="59">
        <f t="shared" si="0"/>
        <v>43693</v>
      </c>
      <c r="AF16" s="59">
        <f t="shared" si="0"/>
        <v>43694</v>
      </c>
      <c r="AG16" s="59">
        <f t="shared" si="0"/>
        <v>43695</v>
      </c>
      <c r="AH16" s="59">
        <f t="shared" si="0"/>
        <v>43696</v>
      </c>
      <c r="AI16" s="59">
        <f t="shared" si="0"/>
        <v>43697</v>
      </c>
      <c r="AJ16" s="60">
        <f t="shared" si="0"/>
        <v>43698</v>
      </c>
      <c r="AK16" s="58">
        <f t="shared" si="0"/>
        <v>43699</v>
      </c>
      <c r="AL16" s="59">
        <f t="shared" si="0"/>
        <v>43700</v>
      </c>
      <c r="AM16" s="59">
        <f t="shared" si="0"/>
        <v>43701</v>
      </c>
      <c r="AN16" s="59">
        <f t="shared" si="0"/>
        <v>43702</v>
      </c>
      <c r="AO16" s="59">
        <f t="shared" si="0"/>
        <v>43703</v>
      </c>
      <c r="AP16" s="59">
        <f t="shared" si="0"/>
        <v>43704</v>
      </c>
      <c r="AQ16" s="60">
        <f t="shared" si="0"/>
        <v>43705</v>
      </c>
      <c r="AR16" s="58">
        <f t="shared" si="0"/>
        <v>43706</v>
      </c>
      <c r="AS16" s="59">
        <f t="shared" si="0"/>
        <v>43707</v>
      </c>
      <c r="AT16" s="59">
        <f t="shared" si="0"/>
        <v>43708</v>
      </c>
      <c r="AU16" s="59">
        <f t="shared" si="0"/>
        <v>43709</v>
      </c>
      <c r="AV16" s="59">
        <f t="shared" si="0"/>
        <v>43710</v>
      </c>
      <c r="AW16" s="59">
        <f t="shared" si="0"/>
        <v>43711</v>
      </c>
      <c r="AX16" s="60">
        <f t="shared" si="0"/>
        <v>43712</v>
      </c>
      <c r="AY16" s="137"/>
      <c r="AZ16" s="16"/>
    </row>
    <row r="17" spans="1:51" s="68" customFormat="1" ht="24.9" customHeight="1" x14ac:dyDescent="0.25">
      <c r="A17" s="62"/>
      <c r="B17" s="62"/>
      <c r="C17" s="62"/>
      <c r="D17" s="63" t="s">
        <v>8</v>
      </c>
      <c r="E17" s="64" t="s">
        <v>115</v>
      </c>
      <c r="F17" s="65"/>
      <c r="G17" s="91"/>
      <c r="H17" s="92">
        <f>+MIN(H18:H141)</f>
        <v>43537</v>
      </c>
      <c r="I17" s="86">
        <f>+MIN(I18:I141)</f>
        <v>43537</v>
      </c>
      <c r="J17" s="92">
        <f>+MAX(J18:J141)</f>
        <v>43728</v>
      </c>
      <c r="K17" s="86">
        <f>+MAX(K18:K141)</f>
        <v>43728</v>
      </c>
      <c r="L17" s="100"/>
      <c r="M17" s="66"/>
      <c r="N17" s="104"/>
      <c r="O17" s="66"/>
      <c r="P17" s="106"/>
      <c r="Q17" s="107"/>
      <c r="R17" s="107"/>
      <c r="S17" s="107"/>
      <c r="T17" s="107"/>
      <c r="U17" s="107"/>
      <c r="V17" s="108"/>
      <c r="W17" s="106"/>
      <c r="X17" s="107"/>
      <c r="Y17" s="107"/>
      <c r="Z17" s="107"/>
      <c r="AA17" s="107"/>
      <c r="AB17" s="107"/>
      <c r="AC17" s="108"/>
      <c r="AD17" s="106"/>
      <c r="AE17" s="107"/>
      <c r="AF17" s="107"/>
      <c r="AG17" s="107"/>
      <c r="AH17" s="107"/>
      <c r="AI17" s="107"/>
      <c r="AJ17" s="108"/>
      <c r="AK17" s="106"/>
      <c r="AL17" s="107"/>
      <c r="AM17" s="107"/>
      <c r="AN17" s="107"/>
      <c r="AO17" s="107"/>
      <c r="AP17" s="107"/>
      <c r="AQ17" s="108"/>
      <c r="AR17" s="106"/>
      <c r="AS17" s="107"/>
      <c r="AT17" s="107"/>
      <c r="AU17" s="107"/>
      <c r="AV17" s="107"/>
      <c r="AW17" s="107"/>
      <c r="AX17" s="108"/>
      <c r="AY17" s="67"/>
    </row>
    <row r="18" spans="1:51" s="25" customFormat="1" ht="24.9" hidden="1" customHeight="1" x14ac:dyDescent="0.25">
      <c r="A18" s="18"/>
      <c r="B18" s="18"/>
      <c r="C18" s="18"/>
      <c r="D18" s="19"/>
      <c r="E18" s="20"/>
      <c r="F18" s="21"/>
      <c r="G18" s="93"/>
      <c r="H18" s="94"/>
      <c r="I18" s="22"/>
      <c r="J18" s="94"/>
      <c r="K18" s="23"/>
      <c r="L18" s="101"/>
      <c r="M18" s="22"/>
      <c r="N18" s="94"/>
      <c r="O18" s="22"/>
      <c r="P18" s="109" t="s">
        <v>9</v>
      </c>
      <c r="Q18" s="110" t="s">
        <v>10</v>
      </c>
      <c r="R18" s="110" t="s">
        <v>11</v>
      </c>
      <c r="S18" s="110" t="s">
        <v>12</v>
      </c>
      <c r="T18" s="110" t="s">
        <v>13</v>
      </c>
      <c r="U18" s="110" t="s">
        <v>14</v>
      </c>
      <c r="V18" s="111" t="s">
        <v>15</v>
      </c>
      <c r="W18" s="109" t="s">
        <v>16</v>
      </c>
      <c r="X18" s="110" t="s">
        <v>17</v>
      </c>
      <c r="Y18" s="110" t="s">
        <v>18</v>
      </c>
      <c r="Z18" s="110" t="s">
        <v>19</v>
      </c>
      <c r="AA18" s="110" t="s">
        <v>20</v>
      </c>
      <c r="AB18" s="110" t="s">
        <v>21</v>
      </c>
      <c r="AC18" s="111" t="s">
        <v>22</v>
      </c>
      <c r="AD18" s="109" t="s">
        <v>23</v>
      </c>
      <c r="AE18" s="110" t="s">
        <v>24</v>
      </c>
      <c r="AF18" s="110" t="s">
        <v>25</v>
      </c>
      <c r="AG18" s="110" t="s">
        <v>26</v>
      </c>
      <c r="AH18" s="110" t="s">
        <v>27</v>
      </c>
      <c r="AI18" s="110" t="s">
        <v>28</v>
      </c>
      <c r="AJ18" s="111" t="s">
        <v>29</v>
      </c>
      <c r="AK18" s="109" t="s">
        <v>30</v>
      </c>
      <c r="AL18" s="110" t="s">
        <v>31</v>
      </c>
      <c r="AM18" s="110" t="s">
        <v>32</v>
      </c>
      <c r="AN18" s="110" t="s">
        <v>33</v>
      </c>
      <c r="AO18" s="110" t="s">
        <v>34</v>
      </c>
      <c r="AP18" s="110" t="s">
        <v>35</v>
      </c>
      <c r="AQ18" s="111" t="s">
        <v>36</v>
      </c>
      <c r="AR18" s="112" t="s">
        <v>37</v>
      </c>
      <c r="AS18" s="110" t="s">
        <v>38</v>
      </c>
      <c r="AT18" s="110" t="s">
        <v>39</v>
      </c>
      <c r="AU18" s="110" t="s">
        <v>40</v>
      </c>
      <c r="AV18" s="110" t="s">
        <v>41</v>
      </c>
      <c r="AW18" s="110" t="s">
        <v>42</v>
      </c>
      <c r="AX18" s="113" t="s">
        <v>43</v>
      </c>
      <c r="AY18" s="24"/>
    </row>
    <row r="19" spans="1:51" s="188" customFormat="1" ht="42.6" customHeight="1" x14ac:dyDescent="0.3">
      <c r="A19" s="169"/>
      <c r="B19" s="169"/>
      <c r="C19" s="169"/>
      <c r="D19" s="189" t="s">
        <v>78</v>
      </c>
      <c r="E19" s="190" t="s">
        <v>133</v>
      </c>
      <c r="F19" s="172"/>
      <c r="G19" s="173"/>
      <c r="H19" s="174">
        <f>+MIN(H20:H26)</f>
        <v>43537</v>
      </c>
      <c r="I19" s="175">
        <f>+MIN(I20:I26)</f>
        <v>43537</v>
      </c>
      <c r="J19" s="174">
        <f>+MAX(J20:J46)</f>
        <v>43716</v>
      </c>
      <c r="K19" s="175">
        <f>+MAX(K20:K46)</f>
        <v>43716</v>
      </c>
      <c r="L19" s="178"/>
      <c r="M19" s="179"/>
      <c r="N19" s="180"/>
      <c r="O19" s="181"/>
      <c r="P19" s="182" t="str">
        <f t="shared" ref="P19:P134" si="1">+IF(AND(P$16&gt;=$I19,P$16&lt;=$K19),"",0)</f>
        <v/>
      </c>
      <c r="Q19" s="183" t="str">
        <f t="shared" ref="Q19:Z20" si="2">+IF(AND(Q$16&gt;=$I19,Q$16&lt;=$K19),"",0)</f>
        <v/>
      </c>
      <c r="R19" s="183" t="str">
        <f t="shared" si="2"/>
        <v/>
      </c>
      <c r="S19" s="183" t="str">
        <f t="shared" si="2"/>
        <v/>
      </c>
      <c r="T19" s="183" t="str">
        <f t="shared" si="2"/>
        <v/>
      </c>
      <c r="U19" s="183" t="str">
        <f t="shared" si="2"/>
        <v/>
      </c>
      <c r="V19" s="184" t="str">
        <f t="shared" si="2"/>
        <v/>
      </c>
      <c r="W19" s="182" t="str">
        <f t="shared" si="2"/>
        <v/>
      </c>
      <c r="X19" s="185" t="str">
        <f t="shared" si="2"/>
        <v/>
      </c>
      <c r="Y19" s="185" t="str">
        <f t="shared" si="2"/>
        <v/>
      </c>
      <c r="Z19" s="185" t="str">
        <f t="shared" si="2"/>
        <v/>
      </c>
      <c r="AA19" s="185" t="str">
        <f t="shared" ref="AA19:AJ20" si="3">+IF(AND(AA$16&gt;=$I19,AA$16&lt;=$K19),"",0)</f>
        <v/>
      </c>
      <c r="AB19" s="185" t="str">
        <f t="shared" si="3"/>
        <v/>
      </c>
      <c r="AC19" s="186" t="str">
        <f t="shared" si="3"/>
        <v/>
      </c>
      <c r="AD19" s="182" t="str">
        <f t="shared" si="3"/>
        <v/>
      </c>
      <c r="AE19" s="185" t="str">
        <f t="shared" si="3"/>
        <v/>
      </c>
      <c r="AF19" s="185" t="str">
        <f t="shared" si="3"/>
        <v/>
      </c>
      <c r="AG19" s="185" t="str">
        <f t="shared" si="3"/>
        <v/>
      </c>
      <c r="AH19" s="185" t="str">
        <f t="shared" si="3"/>
        <v/>
      </c>
      <c r="AI19" s="185" t="str">
        <f t="shared" si="3"/>
        <v/>
      </c>
      <c r="AJ19" s="186" t="str">
        <f t="shared" si="3"/>
        <v/>
      </c>
      <c r="AK19" s="182" t="str">
        <f t="shared" ref="AK19:AX20" si="4">+IF(AND(AK$16&gt;=$I19,AK$16&lt;=$K19),"",0)</f>
        <v/>
      </c>
      <c r="AL19" s="185" t="str">
        <f t="shared" si="4"/>
        <v/>
      </c>
      <c r="AM19" s="185" t="str">
        <f t="shared" si="4"/>
        <v/>
      </c>
      <c r="AN19" s="185" t="str">
        <f t="shared" si="4"/>
        <v/>
      </c>
      <c r="AO19" s="185" t="str">
        <f t="shared" si="4"/>
        <v/>
      </c>
      <c r="AP19" s="185" t="str">
        <f t="shared" si="4"/>
        <v/>
      </c>
      <c r="AQ19" s="186" t="str">
        <f t="shared" si="4"/>
        <v/>
      </c>
      <c r="AR19" s="183" t="str">
        <f t="shared" si="4"/>
        <v/>
      </c>
      <c r="AS19" s="183" t="str">
        <f t="shared" si="4"/>
        <v/>
      </c>
      <c r="AT19" s="183" t="str">
        <f t="shared" si="4"/>
        <v/>
      </c>
      <c r="AU19" s="183" t="str">
        <f t="shared" si="4"/>
        <v/>
      </c>
      <c r="AV19" s="183" t="str">
        <f t="shared" si="4"/>
        <v/>
      </c>
      <c r="AW19" s="183" t="str">
        <f t="shared" si="4"/>
        <v/>
      </c>
      <c r="AX19" s="183" t="str">
        <f t="shared" si="4"/>
        <v/>
      </c>
      <c r="AY19" s="187"/>
    </row>
    <row r="20" spans="1:51" s="26" customFormat="1" ht="41.25" customHeight="1" outlineLevel="1" x14ac:dyDescent="0.3">
      <c r="A20" s="13"/>
      <c r="B20" s="13"/>
      <c r="C20" s="13"/>
      <c r="D20" s="69">
        <v>1</v>
      </c>
      <c r="E20" s="70" t="s">
        <v>134</v>
      </c>
      <c r="F20" s="49">
        <v>0.65</v>
      </c>
      <c r="G20" s="95" t="str">
        <f t="shared" ref="G20:G46" si="5">+IF(AND($H20&gt;=$I20,$J20&gt;=$K20),"YES","NO")</f>
        <v>YES</v>
      </c>
      <c r="H20" s="97">
        <v>43537</v>
      </c>
      <c r="I20" s="97">
        <v>43537</v>
      </c>
      <c r="J20" s="96">
        <f>+H20+L20-1</f>
        <v>43538</v>
      </c>
      <c r="K20" s="35">
        <f>+I20+M20-1</f>
        <v>43538</v>
      </c>
      <c r="L20" s="102">
        <v>2</v>
      </c>
      <c r="M20" s="36">
        <v>2</v>
      </c>
      <c r="N20" s="105">
        <v>2</v>
      </c>
      <c r="O20" s="37">
        <v>2</v>
      </c>
      <c r="P20" s="114">
        <f t="shared" si="1"/>
        <v>0</v>
      </c>
      <c r="Q20" s="115">
        <f t="shared" si="2"/>
        <v>0</v>
      </c>
      <c r="R20" s="115">
        <f t="shared" si="2"/>
        <v>0</v>
      </c>
      <c r="S20" s="115">
        <f t="shared" si="2"/>
        <v>0</v>
      </c>
      <c r="T20" s="115">
        <f t="shared" si="2"/>
        <v>0</v>
      </c>
      <c r="U20" s="115">
        <f t="shared" si="2"/>
        <v>0</v>
      </c>
      <c r="V20" s="116">
        <f t="shared" si="2"/>
        <v>0</v>
      </c>
      <c r="W20" s="114">
        <f t="shared" si="2"/>
        <v>0</v>
      </c>
      <c r="X20" s="117">
        <f t="shared" si="2"/>
        <v>0</v>
      </c>
      <c r="Y20" s="117">
        <f t="shared" si="2"/>
        <v>0</v>
      </c>
      <c r="Z20" s="117">
        <f t="shared" si="2"/>
        <v>0</v>
      </c>
      <c r="AA20" s="117">
        <f t="shared" si="3"/>
        <v>0</v>
      </c>
      <c r="AB20" s="117">
        <f t="shared" si="3"/>
        <v>0</v>
      </c>
      <c r="AC20" s="118">
        <f t="shared" si="3"/>
        <v>0</v>
      </c>
      <c r="AD20" s="114">
        <f t="shared" si="3"/>
        <v>0</v>
      </c>
      <c r="AE20" s="117">
        <f t="shared" si="3"/>
        <v>0</v>
      </c>
      <c r="AF20" s="117">
        <f t="shared" si="3"/>
        <v>0</v>
      </c>
      <c r="AG20" s="117">
        <f t="shared" si="3"/>
        <v>0</v>
      </c>
      <c r="AH20" s="117">
        <f t="shared" si="3"/>
        <v>0</v>
      </c>
      <c r="AI20" s="117">
        <f t="shared" si="3"/>
        <v>0</v>
      </c>
      <c r="AJ20" s="118">
        <f t="shared" si="3"/>
        <v>0</v>
      </c>
      <c r="AK20" s="114">
        <f t="shared" si="4"/>
        <v>0</v>
      </c>
      <c r="AL20" s="117">
        <f t="shared" si="4"/>
        <v>0</v>
      </c>
      <c r="AM20" s="117">
        <f t="shared" si="4"/>
        <v>0</v>
      </c>
      <c r="AN20" s="117">
        <f t="shared" si="4"/>
        <v>0</v>
      </c>
      <c r="AO20" s="117">
        <f t="shared" si="4"/>
        <v>0</v>
      </c>
      <c r="AP20" s="117">
        <f t="shared" si="4"/>
        <v>0</v>
      </c>
      <c r="AQ20" s="118">
        <f t="shared" si="4"/>
        <v>0</v>
      </c>
      <c r="AR20" s="115">
        <f t="shared" si="4"/>
        <v>0</v>
      </c>
      <c r="AS20" s="115">
        <f t="shared" si="4"/>
        <v>0</v>
      </c>
      <c r="AT20" s="115">
        <f t="shared" si="4"/>
        <v>0</v>
      </c>
      <c r="AU20" s="115">
        <f t="shared" si="4"/>
        <v>0</v>
      </c>
      <c r="AV20" s="115">
        <f t="shared" si="4"/>
        <v>0</v>
      </c>
      <c r="AW20" s="115">
        <f t="shared" si="4"/>
        <v>0</v>
      </c>
      <c r="AX20" s="115">
        <f t="shared" si="4"/>
        <v>0</v>
      </c>
      <c r="AY20" s="40"/>
    </row>
    <row r="21" spans="1:51" s="26" customFormat="1" ht="31.5" customHeight="1" outlineLevel="1" x14ac:dyDescent="0.3">
      <c r="A21" s="13"/>
      <c r="B21" s="13"/>
      <c r="C21" s="13"/>
      <c r="D21" s="69">
        <v>2</v>
      </c>
      <c r="E21" s="70" t="s">
        <v>132</v>
      </c>
      <c r="F21" s="49">
        <v>0.8</v>
      </c>
      <c r="G21" s="95" t="str">
        <f t="shared" si="5"/>
        <v>YES</v>
      </c>
      <c r="H21" s="97">
        <v>43572</v>
      </c>
      <c r="I21" s="97">
        <v>43572</v>
      </c>
      <c r="J21" s="96">
        <f t="shared" ref="J21" si="6">+H21+L21-1</f>
        <v>43581</v>
      </c>
      <c r="K21" s="35">
        <f t="shared" ref="K21" si="7">+I21+M21-1</f>
        <v>43581</v>
      </c>
      <c r="L21" s="102">
        <v>10</v>
      </c>
      <c r="M21" s="36">
        <v>10</v>
      </c>
      <c r="N21" s="105">
        <v>6</v>
      </c>
      <c r="O21" s="105">
        <v>6</v>
      </c>
      <c r="P21" s="114">
        <f t="shared" si="1"/>
        <v>0</v>
      </c>
      <c r="Q21" s="115">
        <f t="shared" ref="Q21:Z133" si="8">+IF(AND(Q$16&gt;=$I21,Q$16&lt;=$K21),"",0)</f>
        <v>0</v>
      </c>
      <c r="R21" s="115">
        <f t="shared" si="8"/>
        <v>0</v>
      </c>
      <c r="S21" s="115">
        <f t="shared" si="8"/>
        <v>0</v>
      </c>
      <c r="T21" s="115">
        <f t="shared" si="8"/>
        <v>0</v>
      </c>
      <c r="U21" s="115">
        <f t="shared" si="8"/>
        <v>0</v>
      </c>
      <c r="V21" s="116">
        <f t="shared" si="8"/>
        <v>0</v>
      </c>
      <c r="W21" s="114">
        <f t="shared" si="8"/>
        <v>0</v>
      </c>
      <c r="X21" s="117">
        <f t="shared" si="8"/>
        <v>0</v>
      </c>
      <c r="Y21" s="117">
        <f t="shared" si="8"/>
        <v>0</v>
      </c>
      <c r="Z21" s="117">
        <f t="shared" si="8"/>
        <v>0</v>
      </c>
      <c r="AA21" s="117">
        <f t="shared" ref="AA21:AJ133" si="9">+IF(AND(AA$16&gt;=$I21,AA$16&lt;=$K21),"",0)</f>
        <v>0</v>
      </c>
      <c r="AB21" s="117">
        <f t="shared" si="9"/>
        <v>0</v>
      </c>
      <c r="AC21" s="118">
        <f t="shared" si="9"/>
        <v>0</v>
      </c>
      <c r="AD21" s="114">
        <f t="shared" si="9"/>
        <v>0</v>
      </c>
      <c r="AE21" s="117">
        <f t="shared" si="9"/>
        <v>0</v>
      </c>
      <c r="AF21" s="117">
        <f t="shared" si="9"/>
        <v>0</v>
      </c>
      <c r="AG21" s="117">
        <f t="shared" si="9"/>
        <v>0</v>
      </c>
      <c r="AH21" s="117">
        <f t="shared" si="9"/>
        <v>0</v>
      </c>
      <c r="AI21" s="117">
        <f t="shared" si="9"/>
        <v>0</v>
      </c>
      <c r="AJ21" s="118">
        <f t="shared" si="9"/>
        <v>0</v>
      </c>
      <c r="AK21" s="114">
        <f t="shared" ref="AK21:AX133" si="10">+IF(AND(AK$16&gt;=$I21,AK$16&lt;=$K21),"",0)</f>
        <v>0</v>
      </c>
      <c r="AL21" s="117">
        <f t="shared" si="10"/>
        <v>0</v>
      </c>
      <c r="AM21" s="117">
        <f t="shared" si="10"/>
        <v>0</v>
      </c>
      <c r="AN21" s="117">
        <f t="shared" si="10"/>
        <v>0</v>
      </c>
      <c r="AO21" s="117">
        <f t="shared" si="10"/>
        <v>0</v>
      </c>
      <c r="AP21" s="117">
        <f t="shared" si="10"/>
        <v>0</v>
      </c>
      <c r="AQ21" s="118">
        <f t="shared" si="10"/>
        <v>0</v>
      </c>
      <c r="AR21" s="115">
        <f t="shared" si="10"/>
        <v>0</v>
      </c>
      <c r="AS21" s="115">
        <f t="shared" si="10"/>
        <v>0</v>
      </c>
      <c r="AT21" s="115">
        <f t="shared" si="10"/>
        <v>0</v>
      </c>
      <c r="AU21" s="115">
        <f t="shared" si="10"/>
        <v>0</v>
      </c>
      <c r="AV21" s="115">
        <f t="shared" si="10"/>
        <v>0</v>
      </c>
      <c r="AW21" s="115">
        <f t="shared" si="10"/>
        <v>0</v>
      </c>
      <c r="AX21" s="115">
        <f t="shared" si="10"/>
        <v>0</v>
      </c>
      <c r="AY21" s="40"/>
    </row>
    <row r="22" spans="1:51" s="26" customFormat="1" ht="31.5" customHeight="1" outlineLevel="1" x14ac:dyDescent="0.3">
      <c r="A22" s="13"/>
      <c r="B22" s="13"/>
      <c r="C22" s="13"/>
      <c r="D22" s="69">
        <v>3</v>
      </c>
      <c r="E22" s="70" t="s">
        <v>135</v>
      </c>
      <c r="F22" s="49">
        <v>0.9</v>
      </c>
      <c r="G22" s="95" t="str">
        <f t="shared" si="5"/>
        <v>YES</v>
      </c>
      <c r="H22" s="97">
        <v>43556</v>
      </c>
      <c r="I22" s="97">
        <v>43556</v>
      </c>
      <c r="J22" s="96">
        <f t="shared" ref="J22" si="11">+H22+L22-1</f>
        <v>43575</v>
      </c>
      <c r="K22" s="35">
        <f t="shared" ref="K22" si="12">+I22+M22-1</f>
        <v>43575</v>
      </c>
      <c r="L22" s="102">
        <v>20</v>
      </c>
      <c r="M22" s="36">
        <v>20</v>
      </c>
      <c r="N22" s="105">
        <v>6</v>
      </c>
      <c r="O22" s="105">
        <v>6</v>
      </c>
      <c r="P22" s="114">
        <f t="shared" si="1"/>
        <v>0</v>
      </c>
      <c r="Q22" s="115">
        <f t="shared" si="8"/>
        <v>0</v>
      </c>
      <c r="R22" s="115">
        <f t="shared" si="8"/>
        <v>0</v>
      </c>
      <c r="S22" s="115">
        <f t="shared" si="8"/>
        <v>0</v>
      </c>
      <c r="T22" s="115">
        <f t="shared" si="8"/>
        <v>0</v>
      </c>
      <c r="U22" s="115">
        <f t="shared" si="8"/>
        <v>0</v>
      </c>
      <c r="V22" s="116">
        <f t="shared" si="8"/>
        <v>0</v>
      </c>
      <c r="W22" s="114">
        <f t="shared" si="8"/>
        <v>0</v>
      </c>
      <c r="X22" s="117">
        <f t="shared" si="8"/>
        <v>0</v>
      </c>
      <c r="Y22" s="117">
        <f t="shared" si="8"/>
        <v>0</v>
      </c>
      <c r="Z22" s="117">
        <f t="shared" si="8"/>
        <v>0</v>
      </c>
      <c r="AA22" s="117">
        <f t="shared" si="9"/>
        <v>0</v>
      </c>
      <c r="AB22" s="117">
        <f t="shared" si="9"/>
        <v>0</v>
      </c>
      <c r="AC22" s="118">
        <f t="shared" si="9"/>
        <v>0</v>
      </c>
      <c r="AD22" s="114">
        <f t="shared" si="9"/>
        <v>0</v>
      </c>
      <c r="AE22" s="117">
        <f t="shared" si="9"/>
        <v>0</v>
      </c>
      <c r="AF22" s="117">
        <f t="shared" si="9"/>
        <v>0</v>
      </c>
      <c r="AG22" s="117">
        <f t="shared" si="9"/>
        <v>0</v>
      </c>
      <c r="AH22" s="117">
        <f t="shared" si="9"/>
        <v>0</v>
      </c>
      <c r="AI22" s="117">
        <f t="shared" si="9"/>
        <v>0</v>
      </c>
      <c r="AJ22" s="118">
        <f t="shared" si="9"/>
        <v>0</v>
      </c>
      <c r="AK22" s="114">
        <f t="shared" si="10"/>
        <v>0</v>
      </c>
      <c r="AL22" s="117">
        <f t="shared" si="10"/>
        <v>0</v>
      </c>
      <c r="AM22" s="117">
        <f t="shared" si="10"/>
        <v>0</v>
      </c>
      <c r="AN22" s="117">
        <f t="shared" si="10"/>
        <v>0</v>
      </c>
      <c r="AO22" s="117">
        <f t="shared" si="10"/>
        <v>0</v>
      </c>
      <c r="AP22" s="117">
        <f t="shared" si="10"/>
        <v>0</v>
      </c>
      <c r="AQ22" s="118">
        <f t="shared" si="10"/>
        <v>0</v>
      </c>
      <c r="AR22" s="115">
        <f t="shared" si="10"/>
        <v>0</v>
      </c>
      <c r="AS22" s="115">
        <f t="shared" si="10"/>
        <v>0</v>
      </c>
      <c r="AT22" s="115">
        <f t="shared" si="10"/>
        <v>0</v>
      </c>
      <c r="AU22" s="115">
        <f t="shared" si="10"/>
        <v>0</v>
      </c>
      <c r="AV22" s="115">
        <f t="shared" si="10"/>
        <v>0</v>
      </c>
      <c r="AW22" s="115">
        <f t="shared" si="10"/>
        <v>0</v>
      </c>
      <c r="AX22" s="115">
        <f t="shared" si="10"/>
        <v>0</v>
      </c>
      <c r="AY22" s="40"/>
    </row>
    <row r="23" spans="1:51" s="26" customFormat="1" ht="31.5" customHeight="1" outlineLevel="1" x14ac:dyDescent="0.3">
      <c r="A23" s="13"/>
      <c r="B23" s="13"/>
      <c r="C23" s="13"/>
      <c r="D23" s="69">
        <v>4</v>
      </c>
      <c r="E23" s="70" t="s">
        <v>117</v>
      </c>
      <c r="F23" s="49">
        <v>0</v>
      </c>
      <c r="G23" s="95" t="str">
        <f t="shared" si="5"/>
        <v>YES</v>
      </c>
      <c r="H23" s="97">
        <v>43646</v>
      </c>
      <c r="I23" s="97">
        <v>43646</v>
      </c>
      <c r="J23" s="96">
        <f t="shared" ref="J23:J46" si="13">+H23+L23-1</f>
        <v>43676</v>
      </c>
      <c r="K23" s="35">
        <f t="shared" ref="K23:K46" si="14">+I23+M23-1</f>
        <v>43676</v>
      </c>
      <c r="L23" s="102">
        <v>31</v>
      </c>
      <c r="M23" s="36">
        <v>31</v>
      </c>
      <c r="N23" s="105">
        <v>6</v>
      </c>
      <c r="O23" s="105">
        <v>6</v>
      </c>
      <c r="P23" s="114">
        <f t="shared" ref="P23:P27" si="15">+IF(AND(P$16&gt;=$I23,P$16&lt;=$K23),"",0)</f>
        <v>0</v>
      </c>
      <c r="Q23" s="115">
        <f t="shared" ref="Q23:Q27" si="16">+IF(AND(Q$16&gt;=$I23,Q$16&lt;=$K23),"",0)</f>
        <v>0</v>
      </c>
      <c r="R23" s="115">
        <f t="shared" ref="R23:R27" si="17">+IF(AND(R$16&gt;=$I23,R$16&lt;=$K23),"",0)</f>
        <v>0</v>
      </c>
      <c r="S23" s="115">
        <f t="shared" ref="S23:S27" si="18">+IF(AND(S$16&gt;=$I23,S$16&lt;=$K23),"",0)</f>
        <v>0</v>
      </c>
      <c r="T23" s="115">
        <f t="shared" ref="T23:T27" si="19">+IF(AND(T$16&gt;=$I23,T$16&lt;=$K23),"",0)</f>
        <v>0</v>
      </c>
      <c r="U23" s="115">
        <f t="shared" ref="U23:U27" si="20">+IF(AND(U$16&gt;=$I23,U$16&lt;=$K23),"",0)</f>
        <v>0</v>
      </c>
      <c r="V23" s="116">
        <f t="shared" ref="V23:V27" si="21">+IF(AND(V$16&gt;=$I23,V$16&lt;=$K23),"",0)</f>
        <v>0</v>
      </c>
      <c r="W23" s="114">
        <f t="shared" ref="W23:W27" si="22">+IF(AND(W$16&gt;=$I23,W$16&lt;=$K23),"",0)</f>
        <v>0</v>
      </c>
      <c r="X23" s="117">
        <f t="shared" ref="X23:X27" si="23">+IF(AND(X$16&gt;=$I23,X$16&lt;=$K23),"",0)</f>
        <v>0</v>
      </c>
      <c r="Y23" s="117">
        <f t="shared" ref="Y23:Y27" si="24">+IF(AND(Y$16&gt;=$I23,Y$16&lt;=$K23),"",0)</f>
        <v>0</v>
      </c>
      <c r="Z23" s="117">
        <f t="shared" ref="Z23:Z27" si="25">+IF(AND(Z$16&gt;=$I23,Z$16&lt;=$K23),"",0)</f>
        <v>0</v>
      </c>
      <c r="AA23" s="117">
        <f t="shared" ref="AA23:AA27" si="26">+IF(AND(AA$16&gt;=$I23,AA$16&lt;=$K23),"",0)</f>
        <v>0</v>
      </c>
      <c r="AB23" s="117">
        <f t="shared" ref="AB23:AB27" si="27">+IF(AND(AB$16&gt;=$I23,AB$16&lt;=$K23),"",0)</f>
        <v>0</v>
      </c>
      <c r="AC23" s="118">
        <f t="shared" ref="AC23:AC27" si="28">+IF(AND(AC$16&gt;=$I23,AC$16&lt;=$K23),"",0)</f>
        <v>0</v>
      </c>
      <c r="AD23" s="114">
        <f t="shared" ref="AD23:AD27" si="29">+IF(AND(AD$16&gt;=$I23,AD$16&lt;=$K23),"",0)</f>
        <v>0</v>
      </c>
      <c r="AE23" s="117">
        <f t="shared" ref="AE23:AE27" si="30">+IF(AND(AE$16&gt;=$I23,AE$16&lt;=$K23),"",0)</f>
        <v>0</v>
      </c>
      <c r="AF23" s="117">
        <f t="shared" ref="AF23:AF27" si="31">+IF(AND(AF$16&gt;=$I23,AF$16&lt;=$K23),"",0)</f>
        <v>0</v>
      </c>
      <c r="AG23" s="117">
        <f t="shared" ref="AG23:AG27" si="32">+IF(AND(AG$16&gt;=$I23,AG$16&lt;=$K23),"",0)</f>
        <v>0</v>
      </c>
      <c r="AH23" s="117">
        <f t="shared" ref="AH23:AH27" si="33">+IF(AND(AH$16&gt;=$I23,AH$16&lt;=$K23),"",0)</f>
        <v>0</v>
      </c>
      <c r="AI23" s="117">
        <f t="shared" ref="AI23:AI27" si="34">+IF(AND(AI$16&gt;=$I23,AI$16&lt;=$K23),"",0)</f>
        <v>0</v>
      </c>
      <c r="AJ23" s="118">
        <f t="shared" ref="AJ23:AJ27" si="35">+IF(AND(AJ$16&gt;=$I23,AJ$16&lt;=$K23),"",0)</f>
        <v>0</v>
      </c>
      <c r="AK23" s="114">
        <f t="shared" ref="AK23:AK27" si="36">+IF(AND(AK$16&gt;=$I23,AK$16&lt;=$K23),"",0)</f>
        <v>0</v>
      </c>
      <c r="AL23" s="117">
        <f t="shared" ref="AL23:AL27" si="37">+IF(AND(AL$16&gt;=$I23,AL$16&lt;=$K23),"",0)</f>
        <v>0</v>
      </c>
      <c r="AM23" s="117">
        <f t="shared" ref="AM23:AM27" si="38">+IF(AND(AM$16&gt;=$I23,AM$16&lt;=$K23),"",0)</f>
        <v>0</v>
      </c>
      <c r="AN23" s="117">
        <f t="shared" ref="AN23:AN27" si="39">+IF(AND(AN$16&gt;=$I23,AN$16&lt;=$K23),"",0)</f>
        <v>0</v>
      </c>
      <c r="AO23" s="117">
        <f t="shared" ref="AO23:AO27" si="40">+IF(AND(AO$16&gt;=$I23,AO$16&lt;=$K23),"",0)</f>
        <v>0</v>
      </c>
      <c r="AP23" s="117">
        <f t="shared" ref="AP23:AP27" si="41">+IF(AND(AP$16&gt;=$I23,AP$16&lt;=$K23),"",0)</f>
        <v>0</v>
      </c>
      <c r="AQ23" s="118">
        <f t="shared" ref="AQ23:AQ27" si="42">+IF(AND(AQ$16&gt;=$I23,AQ$16&lt;=$K23),"",0)</f>
        <v>0</v>
      </c>
      <c r="AR23" s="115">
        <f t="shared" ref="AR23:AR27" si="43">+IF(AND(AR$16&gt;=$I23,AR$16&lt;=$K23),"",0)</f>
        <v>0</v>
      </c>
      <c r="AS23" s="115">
        <f t="shared" ref="AS23:AS27" si="44">+IF(AND(AS$16&gt;=$I23,AS$16&lt;=$K23),"",0)</f>
        <v>0</v>
      </c>
      <c r="AT23" s="115">
        <f t="shared" ref="AT23:AT27" si="45">+IF(AND(AT$16&gt;=$I23,AT$16&lt;=$K23),"",0)</f>
        <v>0</v>
      </c>
      <c r="AU23" s="115">
        <f t="shared" ref="AU23:AU27" si="46">+IF(AND(AU$16&gt;=$I23,AU$16&lt;=$K23),"",0)</f>
        <v>0</v>
      </c>
      <c r="AV23" s="115">
        <f t="shared" ref="AV23:AV27" si="47">+IF(AND(AV$16&gt;=$I23,AV$16&lt;=$K23),"",0)</f>
        <v>0</v>
      </c>
      <c r="AW23" s="115">
        <f t="shared" ref="AW23:AW27" si="48">+IF(AND(AW$16&gt;=$I23,AW$16&lt;=$K23),"",0)</f>
        <v>0</v>
      </c>
      <c r="AX23" s="115">
        <f t="shared" ref="AX23:AX27" si="49">+IF(AND(AX$16&gt;=$I23,AX$16&lt;=$K23),"",0)</f>
        <v>0</v>
      </c>
      <c r="AY23" s="40"/>
    </row>
    <row r="24" spans="1:51" s="26" customFormat="1" ht="31.5" customHeight="1" outlineLevel="1" x14ac:dyDescent="0.3">
      <c r="A24" s="13"/>
      <c r="B24" s="13"/>
      <c r="C24" s="13"/>
      <c r="D24" s="69">
        <v>5</v>
      </c>
      <c r="E24" s="70" t="s">
        <v>118</v>
      </c>
      <c r="F24" s="49">
        <v>0</v>
      </c>
      <c r="G24" s="95" t="str">
        <f t="shared" si="5"/>
        <v>YES</v>
      </c>
      <c r="H24" s="97">
        <v>43697</v>
      </c>
      <c r="I24" s="97">
        <v>43697</v>
      </c>
      <c r="J24" s="96">
        <f t="shared" si="13"/>
        <v>43711</v>
      </c>
      <c r="K24" s="35">
        <f t="shared" si="14"/>
        <v>43711</v>
      </c>
      <c r="L24" s="102">
        <v>15</v>
      </c>
      <c r="M24" s="36">
        <v>15</v>
      </c>
      <c r="N24" s="105">
        <v>3</v>
      </c>
      <c r="O24" s="37">
        <v>3</v>
      </c>
      <c r="P24" s="114">
        <f t="shared" si="15"/>
        <v>0</v>
      </c>
      <c r="Q24" s="115">
        <f t="shared" si="16"/>
        <v>0</v>
      </c>
      <c r="R24" s="115">
        <f t="shared" si="17"/>
        <v>0</v>
      </c>
      <c r="S24" s="115">
        <f t="shared" si="18"/>
        <v>0</v>
      </c>
      <c r="T24" s="115">
        <f t="shared" si="19"/>
        <v>0</v>
      </c>
      <c r="U24" s="115">
        <f t="shared" si="20"/>
        <v>0</v>
      </c>
      <c r="V24" s="116">
        <f t="shared" si="21"/>
        <v>0</v>
      </c>
      <c r="W24" s="114">
        <f t="shared" si="22"/>
        <v>0</v>
      </c>
      <c r="X24" s="117">
        <f t="shared" si="23"/>
        <v>0</v>
      </c>
      <c r="Y24" s="117">
        <f t="shared" si="24"/>
        <v>0</v>
      </c>
      <c r="Z24" s="117">
        <f t="shared" si="25"/>
        <v>0</v>
      </c>
      <c r="AA24" s="117">
        <f t="shared" si="26"/>
        <v>0</v>
      </c>
      <c r="AB24" s="117">
        <f t="shared" si="27"/>
        <v>0</v>
      </c>
      <c r="AC24" s="118">
        <f t="shared" si="28"/>
        <v>0</v>
      </c>
      <c r="AD24" s="114">
        <f t="shared" si="29"/>
        <v>0</v>
      </c>
      <c r="AE24" s="117">
        <f t="shared" si="30"/>
        <v>0</v>
      </c>
      <c r="AF24" s="117">
        <f t="shared" si="31"/>
        <v>0</v>
      </c>
      <c r="AG24" s="117">
        <f t="shared" si="32"/>
        <v>0</v>
      </c>
      <c r="AH24" s="117">
        <f t="shared" si="33"/>
        <v>0</v>
      </c>
      <c r="AI24" s="117" t="str">
        <f t="shared" si="34"/>
        <v/>
      </c>
      <c r="AJ24" s="118" t="str">
        <f t="shared" si="35"/>
        <v/>
      </c>
      <c r="AK24" s="114" t="str">
        <f t="shared" si="36"/>
        <v/>
      </c>
      <c r="AL24" s="117" t="str">
        <f t="shared" si="37"/>
        <v/>
      </c>
      <c r="AM24" s="117" t="str">
        <f t="shared" si="38"/>
        <v/>
      </c>
      <c r="AN24" s="117" t="str">
        <f t="shared" si="39"/>
        <v/>
      </c>
      <c r="AO24" s="117" t="str">
        <f t="shared" si="40"/>
        <v/>
      </c>
      <c r="AP24" s="117" t="str">
        <f t="shared" si="41"/>
        <v/>
      </c>
      <c r="AQ24" s="118" t="str">
        <f t="shared" si="42"/>
        <v/>
      </c>
      <c r="AR24" s="115" t="str">
        <f t="shared" si="43"/>
        <v/>
      </c>
      <c r="AS24" s="115" t="str">
        <f t="shared" si="44"/>
        <v/>
      </c>
      <c r="AT24" s="115" t="str">
        <f t="shared" si="45"/>
        <v/>
      </c>
      <c r="AU24" s="115" t="str">
        <f t="shared" si="46"/>
        <v/>
      </c>
      <c r="AV24" s="115" t="str">
        <f t="shared" si="47"/>
        <v/>
      </c>
      <c r="AW24" s="115" t="str">
        <f t="shared" si="48"/>
        <v/>
      </c>
      <c r="AX24" s="115">
        <f t="shared" si="49"/>
        <v>0</v>
      </c>
      <c r="AY24" s="40"/>
    </row>
    <row r="25" spans="1:51" s="188" customFormat="1" ht="46.5" customHeight="1" outlineLevel="1" x14ac:dyDescent="0.3">
      <c r="A25" s="169"/>
      <c r="B25" s="169"/>
      <c r="C25" s="169"/>
      <c r="D25" s="170" t="s">
        <v>119</v>
      </c>
      <c r="E25" s="171" t="s">
        <v>120</v>
      </c>
      <c r="F25" s="172">
        <v>0</v>
      </c>
      <c r="G25" s="173" t="str">
        <f t="shared" si="5"/>
        <v>YES</v>
      </c>
      <c r="H25" s="174">
        <f>+MIN(H26:H29)</f>
        <v>43606</v>
      </c>
      <c r="I25" s="175">
        <f>+MIN(I26:I29)</f>
        <v>43606</v>
      </c>
      <c r="J25" s="176">
        <f t="shared" si="13"/>
        <v>43605</v>
      </c>
      <c r="K25" s="177">
        <f t="shared" si="14"/>
        <v>43605</v>
      </c>
      <c r="L25" s="178"/>
      <c r="M25" s="179"/>
      <c r="N25" s="180"/>
      <c r="O25" s="181"/>
      <c r="P25" s="182">
        <f t="shared" si="15"/>
        <v>0</v>
      </c>
      <c r="Q25" s="183">
        <f t="shared" si="16"/>
        <v>0</v>
      </c>
      <c r="R25" s="183">
        <f t="shared" si="17"/>
        <v>0</v>
      </c>
      <c r="S25" s="183">
        <f t="shared" si="18"/>
        <v>0</v>
      </c>
      <c r="T25" s="183">
        <f t="shared" si="19"/>
        <v>0</v>
      </c>
      <c r="U25" s="183">
        <f t="shared" si="20"/>
        <v>0</v>
      </c>
      <c r="V25" s="184">
        <f t="shared" si="21"/>
        <v>0</v>
      </c>
      <c r="W25" s="182">
        <f t="shared" si="22"/>
        <v>0</v>
      </c>
      <c r="X25" s="185">
        <f t="shared" si="23"/>
        <v>0</v>
      </c>
      <c r="Y25" s="185">
        <f t="shared" si="24"/>
        <v>0</v>
      </c>
      <c r="Z25" s="185">
        <f t="shared" si="25"/>
        <v>0</v>
      </c>
      <c r="AA25" s="185">
        <f t="shared" si="26"/>
        <v>0</v>
      </c>
      <c r="AB25" s="185">
        <f t="shared" si="27"/>
        <v>0</v>
      </c>
      <c r="AC25" s="186">
        <f t="shared" si="28"/>
        <v>0</v>
      </c>
      <c r="AD25" s="182">
        <f t="shared" si="29"/>
        <v>0</v>
      </c>
      <c r="AE25" s="185">
        <f t="shared" si="30"/>
        <v>0</v>
      </c>
      <c r="AF25" s="185">
        <f t="shared" si="31"/>
        <v>0</v>
      </c>
      <c r="AG25" s="185">
        <f t="shared" si="32"/>
        <v>0</v>
      </c>
      <c r="AH25" s="185">
        <f t="shared" si="33"/>
        <v>0</v>
      </c>
      <c r="AI25" s="185">
        <f t="shared" si="34"/>
        <v>0</v>
      </c>
      <c r="AJ25" s="186">
        <f t="shared" si="35"/>
        <v>0</v>
      </c>
      <c r="AK25" s="182">
        <f t="shared" si="36"/>
        <v>0</v>
      </c>
      <c r="AL25" s="185">
        <f t="shared" si="37"/>
        <v>0</v>
      </c>
      <c r="AM25" s="185">
        <f t="shared" si="38"/>
        <v>0</v>
      </c>
      <c r="AN25" s="185">
        <f t="shared" si="39"/>
        <v>0</v>
      </c>
      <c r="AO25" s="185">
        <f t="shared" si="40"/>
        <v>0</v>
      </c>
      <c r="AP25" s="185">
        <f t="shared" si="41"/>
        <v>0</v>
      </c>
      <c r="AQ25" s="186">
        <f t="shared" si="42"/>
        <v>0</v>
      </c>
      <c r="AR25" s="183">
        <f t="shared" si="43"/>
        <v>0</v>
      </c>
      <c r="AS25" s="183">
        <f t="shared" si="44"/>
        <v>0</v>
      </c>
      <c r="AT25" s="183">
        <f t="shared" si="45"/>
        <v>0</v>
      </c>
      <c r="AU25" s="183">
        <f t="shared" si="46"/>
        <v>0</v>
      </c>
      <c r="AV25" s="183">
        <f t="shared" si="47"/>
        <v>0</v>
      </c>
      <c r="AW25" s="183">
        <f t="shared" si="48"/>
        <v>0</v>
      </c>
      <c r="AX25" s="183">
        <f t="shared" si="49"/>
        <v>0</v>
      </c>
      <c r="AY25" s="187"/>
    </row>
    <row r="26" spans="1:51" s="26" customFormat="1" ht="31.5" customHeight="1" outlineLevel="1" x14ac:dyDescent="0.3">
      <c r="A26" s="13"/>
      <c r="B26" s="13"/>
      <c r="C26" s="13"/>
      <c r="D26" s="69">
        <v>1</v>
      </c>
      <c r="E26" s="70" t="s">
        <v>121</v>
      </c>
      <c r="F26" s="49">
        <v>0</v>
      </c>
      <c r="G26" s="95" t="str">
        <f t="shared" si="5"/>
        <v>YES</v>
      </c>
      <c r="H26" s="97">
        <v>43639</v>
      </c>
      <c r="I26" s="97">
        <v>43639</v>
      </c>
      <c r="J26" s="96">
        <f t="shared" si="13"/>
        <v>43668</v>
      </c>
      <c r="K26" s="35">
        <f t="shared" si="14"/>
        <v>43668</v>
      </c>
      <c r="L26" s="102">
        <v>30</v>
      </c>
      <c r="M26" s="36">
        <v>30</v>
      </c>
      <c r="N26" s="105">
        <v>2</v>
      </c>
      <c r="O26" s="37">
        <v>2</v>
      </c>
      <c r="P26" s="114">
        <f t="shared" si="15"/>
        <v>0</v>
      </c>
      <c r="Q26" s="115">
        <f t="shared" si="16"/>
        <v>0</v>
      </c>
      <c r="R26" s="115">
        <f t="shared" si="17"/>
        <v>0</v>
      </c>
      <c r="S26" s="115">
        <f t="shared" si="18"/>
        <v>0</v>
      </c>
      <c r="T26" s="115">
        <f t="shared" si="19"/>
        <v>0</v>
      </c>
      <c r="U26" s="115">
        <f t="shared" si="20"/>
        <v>0</v>
      </c>
      <c r="V26" s="116">
        <f t="shared" si="21"/>
        <v>0</v>
      </c>
      <c r="W26" s="114">
        <f t="shared" si="22"/>
        <v>0</v>
      </c>
      <c r="X26" s="117">
        <f t="shared" si="23"/>
        <v>0</v>
      </c>
      <c r="Y26" s="117">
        <f t="shared" si="24"/>
        <v>0</v>
      </c>
      <c r="Z26" s="117">
        <f t="shared" si="25"/>
        <v>0</v>
      </c>
      <c r="AA26" s="117">
        <f t="shared" si="26"/>
        <v>0</v>
      </c>
      <c r="AB26" s="117">
        <f t="shared" si="27"/>
        <v>0</v>
      </c>
      <c r="AC26" s="118">
        <f t="shared" si="28"/>
        <v>0</v>
      </c>
      <c r="AD26" s="114">
        <f t="shared" si="29"/>
        <v>0</v>
      </c>
      <c r="AE26" s="117">
        <f t="shared" si="30"/>
        <v>0</v>
      </c>
      <c r="AF26" s="117">
        <f t="shared" si="31"/>
        <v>0</v>
      </c>
      <c r="AG26" s="117">
        <f t="shared" si="32"/>
        <v>0</v>
      </c>
      <c r="AH26" s="117">
        <f t="shared" si="33"/>
        <v>0</v>
      </c>
      <c r="AI26" s="117">
        <f t="shared" si="34"/>
        <v>0</v>
      </c>
      <c r="AJ26" s="118">
        <f t="shared" si="35"/>
        <v>0</v>
      </c>
      <c r="AK26" s="114">
        <f t="shared" si="36"/>
        <v>0</v>
      </c>
      <c r="AL26" s="117">
        <f t="shared" si="37"/>
        <v>0</v>
      </c>
      <c r="AM26" s="117">
        <f t="shared" si="38"/>
        <v>0</v>
      </c>
      <c r="AN26" s="117">
        <f t="shared" si="39"/>
        <v>0</v>
      </c>
      <c r="AO26" s="117">
        <f t="shared" si="40"/>
        <v>0</v>
      </c>
      <c r="AP26" s="117">
        <f t="shared" si="41"/>
        <v>0</v>
      </c>
      <c r="AQ26" s="118">
        <f t="shared" si="42"/>
        <v>0</v>
      </c>
      <c r="AR26" s="115">
        <f t="shared" si="43"/>
        <v>0</v>
      </c>
      <c r="AS26" s="115">
        <f t="shared" si="44"/>
        <v>0</v>
      </c>
      <c r="AT26" s="115">
        <f t="shared" si="45"/>
        <v>0</v>
      </c>
      <c r="AU26" s="115">
        <f t="shared" si="46"/>
        <v>0</v>
      </c>
      <c r="AV26" s="115">
        <f t="shared" si="47"/>
        <v>0</v>
      </c>
      <c r="AW26" s="115">
        <f t="shared" si="48"/>
        <v>0</v>
      </c>
      <c r="AX26" s="115">
        <f t="shared" si="49"/>
        <v>0</v>
      </c>
      <c r="AY26" s="40"/>
    </row>
    <row r="27" spans="1:51" s="188" customFormat="1" ht="31.5" customHeight="1" outlineLevel="1" x14ac:dyDescent="0.3">
      <c r="A27" s="169"/>
      <c r="B27" s="169"/>
      <c r="C27" s="169"/>
      <c r="D27" s="170" t="s">
        <v>125</v>
      </c>
      <c r="E27" s="171" t="s">
        <v>122</v>
      </c>
      <c r="F27" s="172">
        <v>0</v>
      </c>
      <c r="G27" s="173" t="str">
        <f t="shared" si="5"/>
        <v>YES</v>
      </c>
      <c r="H27" s="174">
        <f>+MIN(H28:H31)</f>
        <v>43606</v>
      </c>
      <c r="I27" s="175">
        <f>+MIN(I28:I31)</f>
        <v>43606</v>
      </c>
      <c r="J27" s="176">
        <f t="shared" si="13"/>
        <v>43605</v>
      </c>
      <c r="K27" s="177">
        <f t="shared" si="14"/>
        <v>43605</v>
      </c>
      <c r="L27" s="178"/>
      <c r="M27" s="179"/>
      <c r="N27" s="180"/>
      <c r="O27" s="181"/>
      <c r="P27" s="182">
        <f t="shared" si="15"/>
        <v>0</v>
      </c>
      <c r="Q27" s="183">
        <f t="shared" si="16"/>
        <v>0</v>
      </c>
      <c r="R27" s="183">
        <f t="shared" si="17"/>
        <v>0</v>
      </c>
      <c r="S27" s="183">
        <f t="shared" si="18"/>
        <v>0</v>
      </c>
      <c r="T27" s="183">
        <f t="shared" si="19"/>
        <v>0</v>
      </c>
      <c r="U27" s="183">
        <f t="shared" si="20"/>
        <v>0</v>
      </c>
      <c r="V27" s="184">
        <f t="shared" si="21"/>
        <v>0</v>
      </c>
      <c r="W27" s="182">
        <f t="shared" si="22"/>
        <v>0</v>
      </c>
      <c r="X27" s="185">
        <f t="shared" si="23"/>
        <v>0</v>
      </c>
      <c r="Y27" s="185">
        <f t="shared" si="24"/>
        <v>0</v>
      </c>
      <c r="Z27" s="185">
        <f t="shared" si="25"/>
        <v>0</v>
      </c>
      <c r="AA27" s="185">
        <f t="shared" si="26"/>
        <v>0</v>
      </c>
      <c r="AB27" s="185">
        <f t="shared" si="27"/>
        <v>0</v>
      </c>
      <c r="AC27" s="186">
        <f t="shared" si="28"/>
        <v>0</v>
      </c>
      <c r="AD27" s="182">
        <f t="shared" si="29"/>
        <v>0</v>
      </c>
      <c r="AE27" s="185">
        <f t="shared" si="30"/>
        <v>0</v>
      </c>
      <c r="AF27" s="185">
        <f t="shared" si="31"/>
        <v>0</v>
      </c>
      <c r="AG27" s="185">
        <f t="shared" si="32"/>
        <v>0</v>
      </c>
      <c r="AH27" s="185">
        <f t="shared" si="33"/>
        <v>0</v>
      </c>
      <c r="AI27" s="185">
        <f t="shared" si="34"/>
        <v>0</v>
      </c>
      <c r="AJ27" s="186">
        <f t="shared" si="35"/>
        <v>0</v>
      </c>
      <c r="AK27" s="182">
        <f t="shared" si="36"/>
        <v>0</v>
      </c>
      <c r="AL27" s="185">
        <f t="shared" si="37"/>
        <v>0</v>
      </c>
      <c r="AM27" s="185">
        <f t="shared" si="38"/>
        <v>0</v>
      </c>
      <c r="AN27" s="185">
        <f t="shared" si="39"/>
        <v>0</v>
      </c>
      <c r="AO27" s="185">
        <f t="shared" si="40"/>
        <v>0</v>
      </c>
      <c r="AP27" s="185">
        <f t="shared" si="41"/>
        <v>0</v>
      </c>
      <c r="AQ27" s="186">
        <f t="shared" si="42"/>
        <v>0</v>
      </c>
      <c r="AR27" s="183">
        <f t="shared" si="43"/>
        <v>0</v>
      </c>
      <c r="AS27" s="183">
        <f t="shared" si="44"/>
        <v>0</v>
      </c>
      <c r="AT27" s="183">
        <f t="shared" si="45"/>
        <v>0</v>
      </c>
      <c r="AU27" s="183">
        <f t="shared" si="46"/>
        <v>0</v>
      </c>
      <c r="AV27" s="183">
        <f t="shared" si="47"/>
        <v>0</v>
      </c>
      <c r="AW27" s="183">
        <f t="shared" si="48"/>
        <v>0</v>
      </c>
      <c r="AX27" s="183">
        <f t="shared" si="49"/>
        <v>0</v>
      </c>
      <c r="AY27" s="187"/>
    </row>
    <row r="28" spans="1:51" s="26" customFormat="1" ht="31.5" customHeight="1" outlineLevel="1" x14ac:dyDescent="0.3">
      <c r="A28" s="13"/>
      <c r="B28" s="13"/>
      <c r="C28" s="13"/>
      <c r="D28" s="69">
        <v>1</v>
      </c>
      <c r="E28" s="70" t="s">
        <v>123</v>
      </c>
      <c r="F28" s="49">
        <v>0</v>
      </c>
      <c r="G28" s="95" t="str">
        <f t="shared" si="5"/>
        <v>YES</v>
      </c>
      <c r="H28" s="97">
        <v>43606</v>
      </c>
      <c r="I28" s="97">
        <v>43606</v>
      </c>
      <c r="J28" s="96">
        <f t="shared" si="13"/>
        <v>43625</v>
      </c>
      <c r="K28" s="35">
        <f t="shared" si="14"/>
        <v>43625</v>
      </c>
      <c r="L28" s="102">
        <v>20</v>
      </c>
      <c r="M28" s="36">
        <v>20</v>
      </c>
      <c r="N28" s="105">
        <v>8</v>
      </c>
      <c r="O28" s="37">
        <v>8</v>
      </c>
      <c r="P28" s="114">
        <f t="shared" ref="P28:P32" si="50">+IF(AND(P$16&gt;=$I28,P$16&lt;=$K28),"",0)</f>
        <v>0</v>
      </c>
      <c r="Q28" s="115">
        <f t="shared" ref="Q28:Q32" si="51">+IF(AND(Q$16&gt;=$I28,Q$16&lt;=$K28),"",0)</f>
        <v>0</v>
      </c>
      <c r="R28" s="115">
        <f t="shared" ref="R28:R32" si="52">+IF(AND(R$16&gt;=$I28,R$16&lt;=$K28),"",0)</f>
        <v>0</v>
      </c>
      <c r="S28" s="115">
        <f t="shared" ref="S28:S32" si="53">+IF(AND(S$16&gt;=$I28,S$16&lt;=$K28),"",0)</f>
        <v>0</v>
      </c>
      <c r="T28" s="115">
        <f t="shared" ref="T28:T32" si="54">+IF(AND(T$16&gt;=$I28,T$16&lt;=$K28),"",0)</f>
        <v>0</v>
      </c>
      <c r="U28" s="115">
        <f t="shared" ref="U28:U32" si="55">+IF(AND(U$16&gt;=$I28,U$16&lt;=$K28),"",0)</f>
        <v>0</v>
      </c>
      <c r="V28" s="116">
        <f t="shared" ref="V28:V32" si="56">+IF(AND(V$16&gt;=$I28,V$16&lt;=$K28),"",0)</f>
        <v>0</v>
      </c>
      <c r="W28" s="114">
        <f t="shared" ref="W28:W32" si="57">+IF(AND(W$16&gt;=$I28,W$16&lt;=$K28),"",0)</f>
        <v>0</v>
      </c>
      <c r="X28" s="117">
        <f t="shared" ref="X28:X32" si="58">+IF(AND(X$16&gt;=$I28,X$16&lt;=$K28),"",0)</f>
        <v>0</v>
      </c>
      <c r="Y28" s="117">
        <f t="shared" ref="Y28:Y32" si="59">+IF(AND(Y$16&gt;=$I28,Y$16&lt;=$K28),"",0)</f>
        <v>0</v>
      </c>
      <c r="Z28" s="117">
        <f t="shared" ref="Z28:Z32" si="60">+IF(AND(Z$16&gt;=$I28,Z$16&lt;=$K28),"",0)</f>
        <v>0</v>
      </c>
      <c r="AA28" s="117">
        <f t="shared" ref="AA28:AA32" si="61">+IF(AND(AA$16&gt;=$I28,AA$16&lt;=$K28),"",0)</f>
        <v>0</v>
      </c>
      <c r="AB28" s="117">
        <f t="shared" ref="AB28:AB32" si="62">+IF(AND(AB$16&gt;=$I28,AB$16&lt;=$K28),"",0)</f>
        <v>0</v>
      </c>
      <c r="AC28" s="118">
        <f t="shared" ref="AC28:AC32" si="63">+IF(AND(AC$16&gt;=$I28,AC$16&lt;=$K28),"",0)</f>
        <v>0</v>
      </c>
      <c r="AD28" s="114">
        <f t="shared" ref="AD28:AD32" si="64">+IF(AND(AD$16&gt;=$I28,AD$16&lt;=$K28),"",0)</f>
        <v>0</v>
      </c>
      <c r="AE28" s="117">
        <f t="shared" ref="AE28:AE32" si="65">+IF(AND(AE$16&gt;=$I28,AE$16&lt;=$K28),"",0)</f>
        <v>0</v>
      </c>
      <c r="AF28" s="117">
        <f t="shared" ref="AF28:AF32" si="66">+IF(AND(AF$16&gt;=$I28,AF$16&lt;=$K28),"",0)</f>
        <v>0</v>
      </c>
      <c r="AG28" s="117">
        <f t="shared" ref="AG28:AG32" si="67">+IF(AND(AG$16&gt;=$I28,AG$16&lt;=$K28),"",0)</f>
        <v>0</v>
      </c>
      <c r="AH28" s="117">
        <f t="shared" ref="AH28:AH32" si="68">+IF(AND(AH$16&gt;=$I28,AH$16&lt;=$K28),"",0)</f>
        <v>0</v>
      </c>
      <c r="AI28" s="117">
        <f t="shared" ref="AI28:AI32" si="69">+IF(AND(AI$16&gt;=$I28,AI$16&lt;=$K28),"",0)</f>
        <v>0</v>
      </c>
      <c r="AJ28" s="118">
        <f t="shared" ref="AJ28:AJ32" si="70">+IF(AND(AJ$16&gt;=$I28,AJ$16&lt;=$K28),"",0)</f>
        <v>0</v>
      </c>
      <c r="AK28" s="114">
        <f t="shared" ref="AK28:AK32" si="71">+IF(AND(AK$16&gt;=$I28,AK$16&lt;=$K28),"",0)</f>
        <v>0</v>
      </c>
      <c r="AL28" s="117">
        <f t="shared" ref="AL28:AL32" si="72">+IF(AND(AL$16&gt;=$I28,AL$16&lt;=$K28),"",0)</f>
        <v>0</v>
      </c>
      <c r="AM28" s="117">
        <f t="shared" ref="AM28:AM32" si="73">+IF(AND(AM$16&gt;=$I28,AM$16&lt;=$K28),"",0)</f>
        <v>0</v>
      </c>
      <c r="AN28" s="117">
        <f t="shared" ref="AN28:AN32" si="74">+IF(AND(AN$16&gt;=$I28,AN$16&lt;=$K28),"",0)</f>
        <v>0</v>
      </c>
      <c r="AO28" s="117">
        <f t="shared" ref="AO28:AO32" si="75">+IF(AND(AO$16&gt;=$I28,AO$16&lt;=$K28),"",0)</f>
        <v>0</v>
      </c>
      <c r="AP28" s="117">
        <f t="shared" ref="AP28:AP32" si="76">+IF(AND(AP$16&gt;=$I28,AP$16&lt;=$K28),"",0)</f>
        <v>0</v>
      </c>
      <c r="AQ28" s="118">
        <f t="shared" ref="AQ28:AQ32" si="77">+IF(AND(AQ$16&gt;=$I28,AQ$16&lt;=$K28),"",0)</f>
        <v>0</v>
      </c>
      <c r="AR28" s="115">
        <f t="shared" ref="AR28:AR32" si="78">+IF(AND(AR$16&gt;=$I28,AR$16&lt;=$K28),"",0)</f>
        <v>0</v>
      </c>
      <c r="AS28" s="115">
        <f t="shared" ref="AS28:AS32" si="79">+IF(AND(AS$16&gt;=$I28,AS$16&lt;=$K28),"",0)</f>
        <v>0</v>
      </c>
      <c r="AT28" s="115">
        <f t="shared" ref="AT28:AT32" si="80">+IF(AND(AT$16&gt;=$I28,AT$16&lt;=$K28),"",0)</f>
        <v>0</v>
      </c>
      <c r="AU28" s="115">
        <f t="shared" ref="AU28:AU32" si="81">+IF(AND(AU$16&gt;=$I28,AU$16&lt;=$K28),"",0)</f>
        <v>0</v>
      </c>
      <c r="AV28" s="115">
        <f t="shared" ref="AV28:AV32" si="82">+IF(AND(AV$16&gt;=$I28,AV$16&lt;=$K28),"",0)</f>
        <v>0</v>
      </c>
      <c r="AW28" s="115">
        <f t="shared" ref="AW28:AW32" si="83">+IF(AND(AW$16&gt;=$I28,AW$16&lt;=$K28),"",0)</f>
        <v>0</v>
      </c>
      <c r="AX28" s="115">
        <f t="shared" ref="AX28:AX32" si="84">+IF(AND(AX$16&gt;=$I28,AX$16&lt;=$K28),"",0)</f>
        <v>0</v>
      </c>
      <c r="AY28" s="40"/>
    </row>
    <row r="29" spans="1:51" s="26" customFormat="1" ht="31.5" customHeight="1" outlineLevel="1" x14ac:dyDescent="0.3">
      <c r="A29" s="13"/>
      <c r="B29" s="13"/>
      <c r="C29" s="13"/>
      <c r="D29" s="69">
        <v>2</v>
      </c>
      <c r="E29" s="70" t="s">
        <v>124</v>
      </c>
      <c r="F29" s="49">
        <v>0</v>
      </c>
      <c r="G29" s="95" t="str">
        <f t="shared" si="5"/>
        <v>YES</v>
      </c>
      <c r="H29" s="97">
        <v>43625</v>
      </c>
      <c r="I29" s="97">
        <v>43625</v>
      </c>
      <c r="J29" s="96">
        <f t="shared" si="13"/>
        <v>43627</v>
      </c>
      <c r="K29" s="35">
        <f t="shared" si="14"/>
        <v>43627</v>
      </c>
      <c r="L29" s="102">
        <v>3</v>
      </c>
      <c r="M29" s="36">
        <v>3</v>
      </c>
      <c r="N29" s="105">
        <v>3</v>
      </c>
      <c r="O29" s="37">
        <v>3</v>
      </c>
      <c r="P29" s="114">
        <f t="shared" si="50"/>
        <v>0</v>
      </c>
      <c r="Q29" s="115">
        <f t="shared" si="51"/>
        <v>0</v>
      </c>
      <c r="R29" s="115">
        <f t="shared" si="52"/>
        <v>0</v>
      </c>
      <c r="S29" s="115">
        <f t="shared" si="53"/>
        <v>0</v>
      </c>
      <c r="T29" s="115">
        <f t="shared" si="54"/>
        <v>0</v>
      </c>
      <c r="U29" s="115">
        <f t="shared" si="55"/>
        <v>0</v>
      </c>
      <c r="V29" s="116">
        <f t="shared" si="56"/>
        <v>0</v>
      </c>
      <c r="W29" s="114">
        <f t="shared" si="57"/>
        <v>0</v>
      </c>
      <c r="X29" s="117">
        <f t="shared" si="58"/>
        <v>0</v>
      </c>
      <c r="Y29" s="117">
        <f t="shared" si="59"/>
        <v>0</v>
      </c>
      <c r="Z29" s="117">
        <f t="shared" si="60"/>
        <v>0</v>
      </c>
      <c r="AA29" s="117">
        <f t="shared" si="61"/>
        <v>0</v>
      </c>
      <c r="AB29" s="117">
        <f t="shared" si="62"/>
        <v>0</v>
      </c>
      <c r="AC29" s="118">
        <f t="shared" si="63"/>
        <v>0</v>
      </c>
      <c r="AD29" s="114">
        <f t="shared" si="64"/>
        <v>0</v>
      </c>
      <c r="AE29" s="117">
        <f t="shared" si="65"/>
        <v>0</v>
      </c>
      <c r="AF29" s="117">
        <f t="shared" si="66"/>
        <v>0</v>
      </c>
      <c r="AG29" s="117">
        <f t="shared" si="67"/>
        <v>0</v>
      </c>
      <c r="AH29" s="117">
        <f t="shared" si="68"/>
        <v>0</v>
      </c>
      <c r="AI29" s="117">
        <f t="shared" si="69"/>
        <v>0</v>
      </c>
      <c r="AJ29" s="118">
        <f t="shared" si="70"/>
        <v>0</v>
      </c>
      <c r="AK29" s="114">
        <f t="shared" si="71"/>
        <v>0</v>
      </c>
      <c r="AL29" s="117">
        <f t="shared" si="72"/>
        <v>0</v>
      </c>
      <c r="AM29" s="117">
        <f t="shared" si="73"/>
        <v>0</v>
      </c>
      <c r="AN29" s="117">
        <f t="shared" si="74"/>
        <v>0</v>
      </c>
      <c r="AO29" s="117">
        <f t="shared" si="75"/>
        <v>0</v>
      </c>
      <c r="AP29" s="117">
        <f t="shared" si="76"/>
        <v>0</v>
      </c>
      <c r="AQ29" s="118">
        <f t="shared" si="77"/>
        <v>0</v>
      </c>
      <c r="AR29" s="115">
        <f t="shared" si="78"/>
        <v>0</v>
      </c>
      <c r="AS29" s="115">
        <f t="shared" si="79"/>
        <v>0</v>
      </c>
      <c r="AT29" s="115">
        <f t="shared" si="80"/>
        <v>0</v>
      </c>
      <c r="AU29" s="115">
        <f t="shared" si="81"/>
        <v>0</v>
      </c>
      <c r="AV29" s="115">
        <f t="shared" si="82"/>
        <v>0</v>
      </c>
      <c r="AW29" s="115">
        <f t="shared" si="83"/>
        <v>0</v>
      </c>
      <c r="AX29" s="115">
        <f t="shared" si="84"/>
        <v>0</v>
      </c>
      <c r="AY29" s="40"/>
    </row>
    <row r="30" spans="1:51" s="26" customFormat="1" ht="31.5" customHeight="1" outlineLevel="1" x14ac:dyDescent="0.3">
      <c r="A30" s="13"/>
      <c r="B30" s="13"/>
      <c r="C30" s="13"/>
      <c r="D30" s="69">
        <v>3</v>
      </c>
      <c r="E30" s="70" t="s">
        <v>57</v>
      </c>
      <c r="F30" s="49">
        <v>0</v>
      </c>
      <c r="G30" s="95" t="str">
        <f t="shared" si="5"/>
        <v>YES</v>
      </c>
      <c r="H30" s="97">
        <v>43631</v>
      </c>
      <c r="I30" s="97">
        <v>43631</v>
      </c>
      <c r="J30" s="96">
        <f t="shared" si="13"/>
        <v>43650</v>
      </c>
      <c r="K30" s="35">
        <f t="shared" si="14"/>
        <v>43650</v>
      </c>
      <c r="L30" s="102">
        <v>20</v>
      </c>
      <c r="M30" s="36">
        <v>20</v>
      </c>
      <c r="N30" s="105">
        <v>8</v>
      </c>
      <c r="O30" s="37">
        <v>8</v>
      </c>
      <c r="P30" s="114">
        <f t="shared" si="50"/>
        <v>0</v>
      </c>
      <c r="Q30" s="115">
        <f t="shared" si="51"/>
        <v>0</v>
      </c>
      <c r="R30" s="115">
        <f t="shared" si="52"/>
        <v>0</v>
      </c>
      <c r="S30" s="115">
        <f t="shared" si="53"/>
        <v>0</v>
      </c>
      <c r="T30" s="115">
        <f t="shared" si="54"/>
        <v>0</v>
      </c>
      <c r="U30" s="115">
        <f t="shared" si="55"/>
        <v>0</v>
      </c>
      <c r="V30" s="116">
        <f t="shared" si="56"/>
        <v>0</v>
      </c>
      <c r="W30" s="114">
        <f t="shared" si="57"/>
        <v>0</v>
      </c>
      <c r="X30" s="117">
        <f t="shared" si="58"/>
        <v>0</v>
      </c>
      <c r="Y30" s="117">
        <f t="shared" si="59"/>
        <v>0</v>
      </c>
      <c r="Z30" s="117">
        <f t="shared" si="60"/>
        <v>0</v>
      </c>
      <c r="AA30" s="117">
        <f t="shared" si="61"/>
        <v>0</v>
      </c>
      <c r="AB30" s="117">
        <f t="shared" si="62"/>
        <v>0</v>
      </c>
      <c r="AC30" s="118">
        <f t="shared" si="63"/>
        <v>0</v>
      </c>
      <c r="AD30" s="114">
        <f t="shared" si="64"/>
        <v>0</v>
      </c>
      <c r="AE30" s="117">
        <f t="shared" si="65"/>
        <v>0</v>
      </c>
      <c r="AF30" s="117">
        <f t="shared" si="66"/>
        <v>0</v>
      </c>
      <c r="AG30" s="117">
        <f t="shared" si="67"/>
        <v>0</v>
      </c>
      <c r="AH30" s="117">
        <f t="shared" si="68"/>
        <v>0</v>
      </c>
      <c r="AI30" s="117">
        <f t="shared" si="69"/>
        <v>0</v>
      </c>
      <c r="AJ30" s="118">
        <f t="shared" si="70"/>
        <v>0</v>
      </c>
      <c r="AK30" s="114">
        <f t="shared" si="71"/>
        <v>0</v>
      </c>
      <c r="AL30" s="117">
        <f t="shared" si="72"/>
        <v>0</v>
      </c>
      <c r="AM30" s="117">
        <f t="shared" si="73"/>
        <v>0</v>
      </c>
      <c r="AN30" s="117">
        <f t="shared" si="74"/>
        <v>0</v>
      </c>
      <c r="AO30" s="117">
        <f t="shared" si="75"/>
        <v>0</v>
      </c>
      <c r="AP30" s="117">
        <f t="shared" si="76"/>
        <v>0</v>
      </c>
      <c r="AQ30" s="118">
        <f t="shared" si="77"/>
        <v>0</v>
      </c>
      <c r="AR30" s="115">
        <f t="shared" si="78"/>
        <v>0</v>
      </c>
      <c r="AS30" s="115">
        <f t="shared" si="79"/>
        <v>0</v>
      </c>
      <c r="AT30" s="115">
        <f t="shared" si="80"/>
        <v>0</v>
      </c>
      <c r="AU30" s="115">
        <f t="shared" si="81"/>
        <v>0</v>
      </c>
      <c r="AV30" s="115">
        <f t="shared" si="82"/>
        <v>0</v>
      </c>
      <c r="AW30" s="115">
        <f t="shared" si="83"/>
        <v>0</v>
      </c>
      <c r="AX30" s="115">
        <f t="shared" si="84"/>
        <v>0</v>
      </c>
      <c r="AY30" s="40"/>
    </row>
    <row r="31" spans="1:51" s="26" customFormat="1" ht="31.5" customHeight="1" outlineLevel="1" x14ac:dyDescent="0.3">
      <c r="A31" s="13"/>
      <c r="B31" s="13"/>
      <c r="C31" s="13"/>
      <c r="D31" s="69">
        <v>4</v>
      </c>
      <c r="E31" s="70" t="s">
        <v>58</v>
      </c>
      <c r="F31" s="49">
        <v>0</v>
      </c>
      <c r="G31" s="95" t="str">
        <f t="shared" si="5"/>
        <v>YES</v>
      </c>
      <c r="H31" s="97">
        <v>43650</v>
      </c>
      <c r="I31" s="97">
        <v>43650</v>
      </c>
      <c r="J31" s="96">
        <f t="shared" si="13"/>
        <v>43650</v>
      </c>
      <c r="K31" s="35">
        <f t="shared" si="14"/>
        <v>43650</v>
      </c>
      <c r="L31" s="102">
        <v>1</v>
      </c>
      <c r="M31" s="36">
        <v>1</v>
      </c>
      <c r="N31" s="105">
        <v>2</v>
      </c>
      <c r="O31" s="37">
        <v>2</v>
      </c>
      <c r="P31" s="114">
        <f t="shared" si="50"/>
        <v>0</v>
      </c>
      <c r="Q31" s="115">
        <f t="shared" si="51"/>
        <v>0</v>
      </c>
      <c r="R31" s="115">
        <f t="shared" si="52"/>
        <v>0</v>
      </c>
      <c r="S31" s="115">
        <f t="shared" si="53"/>
        <v>0</v>
      </c>
      <c r="T31" s="115">
        <f t="shared" si="54"/>
        <v>0</v>
      </c>
      <c r="U31" s="115">
        <f t="shared" si="55"/>
        <v>0</v>
      </c>
      <c r="V31" s="116">
        <f t="shared" si="56"/>
        <v>0</v>
      </c>
      <c r="W31" s="114">
        <f t="shared" si="57"/>
        <v>0</v>
      </c>
      <c r="X31" s="117">
        <f t="shared" si="58"/>
        <v>0</v>
      </c>
      <c r="Y31" s="117">
        <f t="shared" si="59"/>
        <v>0</v>
      </c>
      <c r="Z31" s="117">
        <f t="shared" si="60"/>
        <v>0</v>
      </c>
      <c r="AA31" s="117">
        <f t="shared" si="61"/>
        <v>0</v>
      </c>
      <c r="AB31" s="117">
        <f t="shared" si="62"/>
        <v>0</v>
      </c>
      <c r="AC31" s="118">
        <f t="shared" si="63"/>
        <v>0</v>
      </c>
      <c r="AD31" s="114">
        <f t="shared" si="64"/>
        <v>0</v>
      </c>
      <c r="AE31" s="117">
        <f t="shared" si="65"/>
        <v>0</v>
      </c>
      <c r="AF31" s="117">
        <f t="shared" si="66"/>
        <v>0</v>
      </c>
      <c r="AG31" s="117">
        <f t="shared" si="67"/>
        <v>0</v>
      </c>
      <c r="AH31" s="117">
        <f t="shared" si="68"/>
        <v>0</v>
      </c>
      <c r="AI31" s="117">
        <f t="shared" si="69"/>
        <v>0</v>
      </c>
      <c r="AJ31" s="118">
        <f t="shared" si="70"/>
        <v>0</v>
      </c>
      <c r="AK31" s="114">
        <f t="shared" si="71"/>
        <v>0</v>
      </c>
      <c r="AL31" s="117">
        <f t="shared" si="72"/>
        <v>0</v>
      </c>
      <c r="AM31" s="117">
        <f t="shared" si="73"/>
        <v>0</v>
      </c>
      <c r="AN31" s="117">
        <f t="shared" si="74"/>
        <v>0</v>
      </c>
      <c r="AO31" s="117">
        <f t="shared" si="75"/>
        <v>0</v>
      </c>
      <c r="AP31" s="117">
        <f t="shared" si="76"/>
        <v>0</v>
      </c>
      <c r="AQ31" s="118">
        <f t="shared" si="77"/>
        <v>0</v>
      </c>
      <c r="AR31" s="115">
        <f t="shared" si="78"/>
        <v>0</v>
      </c>
      <c r="AS31" s="115">
        <f t="shared" si="79"/>
        <v>0</v>
      </c>
      <c r="AT31" s="115">
        <f t="shared" si="80"/>
        <v>0</v>
      </c>
      <c r="AU31" s="115">
        <f t="shared" si="81"/>
        <v>0</v>
      </c>
      <c r="AV31" s="115">
        <f t="shared" si="82"/>
        <v>0</v>
      </c>
      <c r="AW31" s="115">
        <f t="shared" si="83"/>
        <v>0</v>
      </c>
      <c r="AX31" s="115">
        <f t="shared" si="84"/>
        <v>0</v>
      </c>
      <c r="AY31" s="40"/>
    </row>
    <row r="32" spans="1:51" s="188" customFormat="1" ht="31.5" customHeight="1" outlineLevel="1" x14ac:dyDescent="0.3">
      <c r="A32" s="169"/>
      <c r="B32" s="169"/>
      <c r="C32" s="169"/>
      <c r="D32" s="170" t="s">
        <v>127</v>
      </c>
      <c r="E32" s="171" t="s">
        <v>126</v>
      </c>
      <c r="F32" s="172">
        <v>0</v>
      </c>
      <c r="G32" s="173" t="str">
        <f t="shared" si="5"/>
        <v>YES</v>
      </c>
      <c r="H32" s="174">
        <f>+MIN(H33:H36)</f>
        <v>43646</v>
      </c>
      <c r="I32" s="175">
        <f>+MIN(I33:I36)</f>
        <v>43646</v>
      </c>
      <c r="J32" s="176">
        <f t="shared" si="13"/>
        <v>43645</v>
      </c>
      <c r="K32" s="177">
        <f t="shared" si="14"/>
        <v>43645</v>
      </c>
      <c r="L32" s="178"/>
      <c r="M32" s="179"/>
      <c r="N32" s="180"/>
      <c r="O32" s="181"/>
      <c r="P32" s="182">
        <f t="shared" si="50"/>
        <v>0</v>
      </c>
      <c r="Q32" s="183">
        <f t="shared" si="51"/>
        <v>0</v>
      </c>
      <c r="R32" s="183">
        <f t="shared" si="52"/>
        <v>0</v>
      </c>
      <c r="S32" s="183">
        <f t="shared" si="53"/>
        <v>0</v>
      </c>
      <c r="T32" s="183">
        <f t="shared" si="54"/>
        <v>0</v>
      </c>
      <c r="U32" s="183">
        <f t="shared" si="55"/>
        <v>0</v>
      </c>
      <c r="V32" s="184">
        <f t="shared" si="56"/>
        <v>0</v>
      </c>
      <c r="W32" s="182">
        <f t="shared" si="57"/>
        <v>0</v>
      </c>
      <c r="X32" s="185">
        <f t="shared" si="58"/>
        <v>0</v>
      </c>
      <c r="Y32" s="185">
        <f t="shared" si="59"/>
        <v>0</v>
      </c>
      <c r="Z32" s="185">
        <f t="shared" si="60"/>
        <v>0</v>
      </c>
      <c r="AA32" s="185">
        <f t="shared" si="61"/>
        <v>0</v>
      </c>
      <c r="AB32" s="185">
        <f t="shared" si="62"/>
        <v>0</v>
      </c>
      <c r="AC32" s="186">
        <f t="shared" si="63"/>
        <v>0</v>
      </c>
      <c r="AD32" s="182">
        <f t="shared" si="64"/>
        <v>0</v>
      </c>
      <c r="AE32" s="185">
        <f t="shared" si="65"/>
        <v>0</v>
      </c>
      <c r="AF32" s="185">
        <f t="shared" si="66"/>
        <v>0</v>
      </c>
      <c r="AG32" s="185">
        <f t="shared" si="67"/>
        <v>0</v>
      </c>
      <c r="AH32" s="185">
        <f t="shared" si="68"/>
        <v>0</v>
      </c>
      <c r="AI32" s="185">
        <f t="shared" si="69"/>
        <v>0</v>
      </c>
      <c r="AJ32" s="186">
        <f t="shared" si="70"/>
        <v>0</v>
      </c>
      <c r="AK32" s="182">
        <f t="shared" si="71"/>
        <v>0</v>
      </c>
      <c r="AL32" s="185">
        <f t="shared" si="72"/>
        <v>0</v>
      </c>
      <c r="AM32" s="185">
        <f t="shared" si="73"/>
        <v>0</v>
      </c>
      <c r="AN32" s="185">
        <f t="shared" si="74"/>
        <v>0</v>
      </c>
      <c r="AO32" s="185">
        <f t="shared" si="75"/>
        <v>0</v>
      </c>
      <c r="AP32" s="185">
        <f t="shared" si="76"/>
        <v>0</v>
      </c>
      <c r="AQ32" s="186">
        <f t="shared" si="77"/>
        <v>0</v>
      </c>
      <c r="AR32" s="183">
        <f t="shared" si="78"/>
        <v>0</v>
      </c>
      <c r="AS32" s="183">
        <f t="shared" si="79"/>
        <v>0</v>
      </c>
      <c r="AT32" s="183">
        <f t="shared" si="80"/>
        <v>0</v>
      </c>
      <c r="AU32" s="183">
        <f t="shared" si="81"/>
        <v>0</v>
      </c>
      <c r="AV32" s="183">
        <f t="shared" si="82"/>
        <v>0</v>
      </c>
      <c r="AW32" s="183">
        <f t="shared" si="83"/>
        <v>0</v>
      </c>
      <c r="AX32" s="183">
        <f t="shared" si="84"/>
        <v>0</v>
      </c>
      <c r="AY32" s="187"/>
    </row>
    <row r="33" spans="1:51" s="26" customFormat="1" ht="31.5" customHeight="1" outlineLevel="1" x14ac:dyDescent="0.3">
      <c r="A33" s="13"/>
      <c r="B33" s="13"/>
      <c r="C33" s="13"/>
      <c r="D33" s="69">
        <v>1</v>
      </c>
      <c r="E33" s="70" t="s">
        <v>123</v>
      </c>
      <c r="F33" s="49">
        <v>0</v>
      </c>
      <c r="G33" s="95" t="str">
        <f t="shared" si="5"/>
        <v>YES</v>
      </c>
      <c r="H33" s="97">
        <v>43646</v>
      </c>
      <c r="I33" s="97">
        <v>43646</v>
      </c>
      <c r="J33" s="96">
        <f t="shared" si="13"/>
        <v>43665</v>
      </c>
      <c r="K33" s="35">
        <f t="shared" si="14"/>
        <v>43665</v>
      </c>
      <c r="L33" s="102">
        <v>20</v>
      </c>
      <c r="M33" s="36">
        <v>20</v>
      </c>
      <c r="N33" s="105">
        <v>8</v>
      </c>
      <c r="O33" s="37">
        <v>8</v>
      </c>
      <c r="P33" s="114">
        <f t="shared" ref="P33:P37" si="85">+IF(AND(P$16&gt;=$I33,P$16&lt;=$K33),"",0)</f>
        <v>0</v>
      </c>
      <c r="Q33" s="115">
        <f t="shared" ref="Q33:Q37" si="86">+IF(AND(Q$16&gt;=$I33,Q$16&lt;=$K33),"",0)</f>
        <v>0</v>
      </c>
      <c r="R33" s="115">
        <f t="shared" ref="R33:R37" si="87">+IF(AND(R$16&gt;=$I33,R$16&lt;=$K33),"",0)</f>
        <v>0</v>
      </c>
      <c r="S33" s="115">
        <f t="shared" ref="S33:S37" si="88">+IF(AND(S$16&gt;=$I33,S$16&lt;=$K33),"",0)</f>
        <v>0</v>
      </c>
      <c r="T33" s="115">
        <f t="shared" ref="T33:T37" si="89">+IF(AND(T$16&gt;=$I33,T$16&lt;=$K33),"",0)</f>
        <v>0</v>
      </c>
      <c r="U33" s="115">
        <f t="shared" ref="U33:U37" si="90">+IF(AND(U$16&gt;=$I33,U$16&lt;=$K33),"",0)</f>
        <v>0</v>
      </c>
      <c r="V33" s="116">
        <f t="shared" ref="V33:V37" si="91">+IF(AND(V$16&gt;=$I33,V$16&lt;=$K33),"",0)</f>
        <v>0</v>
      </c>
      <c r="W33" s="114">
        <f t="shared" ref="W33:W37" si="92">+IF(AND(W$16&gt;=$I33,W$16&lt;=$K33),"",0)</f>
        <v>0</v>
      </c>
      <c r="X33" s="117">
        <f t="shared" ref="X33:X37" si="93">+IF(AND(X$16&gt;=$I33,X$16&lt;=$K33),"",0)</f>
        <v>0</v>
      </c>
      <c r="Y33" s="117">
        <f t="shared" ref="Y33:Y37" si="94">+IF(AND(Y$16&gt;=$I33,Y$16&lt;=$K33),"",0)</f>
        <v>0</v>
      </c>
      <c r="Z33" s="117">
        <f t="shared" ref="Z33:Z37" si="95">+IF(AND(Z$16&gt;=$I33,Z$16&lt;=$K33),"",0)</f>
        <v>0</v>
      </c>
      <c r="AA33" s="117">
        <f t="shared" ref="AA33:AA37" si="96">+IF(AND(AA$16&gt;=$I33,AA$16&lt;=$K33),"",0)</f>
        <v>0</v>
      </c>
      <c r="AB33" s="117">
        <f t="shared" ref="AB33:AB37" si="97">+IF(AND(AB$16&gt;=$I33,AB$16&lt;=$K33),"",0)</f>
        <v>0</v>
      </c>
      <c r="AC33" s="118">
        <f t="shared" ref="AC33:AC37" si="98">+IF(AND(AC$16&gt;=$I33,AC$16&lt;=$K33),"",0)</f>
        <v>0</v>
      </c>
      <c r="AD33" s="114">
        <f t="shared" ref="AD33:AD37" si="99">+IF(AND(AD$16&gt;=$I33,AD$16&lt;=$K33),"",0)</f>
        <v>0</v>
      </c>
      <c r="AE33" s="117">
        <f t="shared" ref="AE33:AE37" si="100">+IF(AND(AE$16&gt;=$I33,AE$16&lt;=$K33),"",0)</f>
        <v>0</v>
      </c>
      <c r="AF33" s="117">
        <f t="shared" ref="AF33:AF37" si="101">+IF(AND(AF$16&gt;=$I33,AF$16&lt;=$K33),"",0)</f>
        <v>0</v>
      </c>
      <c r="AG33" s="117">
        <f t="shared" ref="AG33:AG37" si="102">+IF(AND(AG$16&gt;=$I33,AG$16&lt;=$K33),"",0)</f>
        <v>0</v>
      </c>
      <c r="AH33" s="117">
        <f t="shared" ref="AH33:AH37" si="103">+IF(AND(AH$16&gt;=$I33,AH$16&lt;=$K33),"",0)</f>
        <v>0</v>
      </c>
      <c r="AI33" s="117">
        <f t="shared" ref="AI33:AI37" si="104">+IF(AND(AI$16&gt;=$I33,AI$16&lt;=$K33),"",0)</f>
        <v>0</v>
      </c>
      <c r="AJ33" s="118">
        <f t="shared" ref="AJ33:AJ37" si="105">+IF(AND(AJ$16&gt;=$I33,AJ$16&lt;=$K33),"",0)</f>
        <v>0</v>
      </c>
      <c r="AK33" s="114">
        <f t="shared" ref="AK33:AK37" si="106">+IF(AND(AK$16&gt;=$I33,AK$16&lt;=$K33),"",0)</f>
        <v>0</v>
      </c>
      <c r="AL33" s="117">
        <f t="shared" ref="AL33:AL37" si="107">+IF(AND(AL$16&gt;=$I33,AL$16&lt;=$K33),"",0)</f>
        <v>0</v>
      </c>
      <c r="AM33" s="117">
        <f t="shared" ref="AM33:AM37" si="108">+IF(AND(AM$16&gt;=$I33,AM$16&lt;=$K33),"",0)</f>
        <v>0</v>
      </c>
      <c r="AN33" s="117">
        <f t="shared" ref="AN33:AN37" si="109">+IF(AND(AN$16&gt;=$I33,AN$16&lt;=$K33),"",0)</f>
        <v>0</v>
      </c>
      <c r="AO33" s="117">
        <f t="shared" ref="AO33:AO37" si="110">+IF(AND(AO$16&gt;=$I33,AO$16&lt;=$K33),"",0)</f>
        <v>0</v>
      </c>
      <c r="AP33" s="117">
        <f t="shared" ref="AP33:AP37" si="111">+IF(AND(AP$16&gt;=$I33,AP$16&lt;=$K33),"",0)</f>
        <v>0</v>
      </c>
      <c r="AQ33" s="118">
        <f t="shared" ref="AQ33:AQ37" si="112">+IF(AND(AQ$16&gt;=$I33,AQ$16&lt;=$K33),"",0)</f>
        <v>0</v>
      </c>
      <c r="AR33" s="115">
        <f t="shared" ref="AR33:AR37" si="113">+IF(AND(AR$16&gt;=$I33,AR$16&lt;=$K33),"",0)</f>
        <v>0</v>
      </c>
      <c r="AS33" s="115">
        <f t="shared" ref="AS33:AS37" si="114">+IF(AND(AS$16&gt;=$I33,AS$16&lt;=$K33),"",0)</f>
        <v>0</v>
      </c>
      <c r="AT33" s="115">
        <f t="shared" ref="AT33:AT37" si="115">+IF(AND(AT$16&gt;=$I33,AT$16&lt;=$K33),"",0)</f>
        <v>0</v>
      </c>
      <c r="AU33" s="115">
        <f t="shared" ref="AU33:AU37" si="116">+IF(AND(AU$16&gt;=$I33,AU$16&lt;=$K33),"",0)</f>
        <v>0</v>
      </c>
      <c r="AV33" s="115">
        <f t="shared" ref="AV33:AV37" si="117">+IF(AND(AV$16&gt;=$I33,AV$16&lt;=$K33),"",0)</f>
        <v>0</v>
      </c>
      <c r="AW33" s="115">
        <f t="shared" ref="AW33:AW37" si="118">+IF(AND(AW$16&gt;=$I33,AW$16&lt;=$K33),"",0)</f>
        <v>0</v>
      </c>
      <c r="AX33" s="115">
        <f t="shared" ref="AX33:AX37" si="119">+IF(AND(AX$16&gt;=$I33,AX$16&lt;=$K33),"",0)</f>
        <v>0</v>
      </c>
      <c r="AY33" s="40"/>
    </row>
    <row r="34" spans="1:51" s="26" customFormat="1" ht="31.5" customHeight="1" outlineLevel="1" x14ac:dyDescent="0.3">
      <c r="A34" s="13"/>
      <c r="B34" s="13"/>
      <c r="C34" s="13"/>
      <c r="D34" s="69">
        <v>2</v>
      </c>
      <c r="E34" s="70" t="s">
        <v>124</v>
      </c>
      <c r="F34" s="49">
        <v>0</v>
      </c>
      <c r="G34" s="95" t="str">
        <f t="shared" si="5"/>
        <v>YES</v>
      </c>
      <c r="H34" s="97">
        <v>43663</v>
      </c>
      <c r="I34" s="97">
        <v>43663</v>
      </c>
      <c r="J34" s="96">
        <f t="shared" si="13"/>
        <v>43665</v>
      </c>
      <c r="K34" s="35">
        <f t="shared" si="14"/>
        <v>43665</v>
      </c>
      <c r="L34" s="102">
        <v>3</v>
      </c>
      <c r="M34" s="36">
        <v>3</v>
      </c>
      <c r="N34" s="105">
        <v>3</v>
      </c>
      <c r="O34" s="37">
        <v>3</v>
      </c>
      <c r="P34" s="114">
        <f t="shared" si="85"/>
        <v>0</v>
      </c>
      <c r="Q34" s="115">
        <f t="shared" si="86"/>
        <v>0</v>
      </c>
      <c r="R34" s="115">
        <f t="shared" si="87"/>
        <v>0</v>
      </c>
      <c r="S34" s="115">
        <f t="shared" si="88"/>
        <v>0</v>
      </c>
      <c r="T34" s="115">
        <f t="shared" si="89"/>
        <v>0</v>
      </c>
      <c r="U34" s="115">
        <f t="shared" si="90"/>
        <v>0</v>
      </c>
      <c r="V34" s="116">
        <f t="shared" si="91"/>
        <v>0</v>
      </c>
      <c r="W34" s="114">
        <f t="shared" si="92"/>
        <v>0</v>
      </c>
      <c r="X34" s="117">
        <f t="shared" si="93"/>
        <v>0</v>
      </c>
      <c r="Y34" s="117">
        <f t="shared" si="94"/>
        <v>0</v>
      </c>
      <c r="Z34" s="117">
        <f t="shared" si="95"/>
        <v>0</v>
      </c>
      <c r="AA34" s="117">
        <f t="shared" si="96"/>
        <v>0</v>
      </c>
      <c r="AB34" s="117">
        <f t="shared" si="97"/>
        <v>0</v>
      </c>
      <c r="AC34" s="118">
        <f t="shared" si="98"/>
        <v>0</v>
      </c>
      <c r="AD34" s="114">
        <f t="shared" si="99"/>
        <v>0</v>
      </c>
      <c r="AE34" s="117">
        <f t="shared" si="100"/>
        <v>0</v>
      </c>
      <c r="AF34" s="117">
        <f t="shared" si="101"/>
        <v>0</v>
      </c>
      <c r="AG34" s="117">
        <f t="shared" si="102"/>
        <v>0</v>
      </c>
      <c r="AH34" s="117">
        <f t="shared" si="103"/>
        <v>0</v>
      </c>
      <c r="AI34" s="117">
        <f t="shared" si="104"/>
        <v>0</v>
      </c>
      <c r="AJ34" s="118">
        <f t="shared" si="105"/>
        <v>0</v>
      </c>
      <c r="AK34" s="114">
        <f t="shared" si="106"/>
        <v>0</v>
      </c>
      <c r="AL34" s="117">
        <f t="shared" si="107"/>
        <v>0</v>
      </c>
      <c r="AM34" s="117">
        <f t="shared" si="108"/>
        <v>0</v>
      </c>
      <c r="AN34" s="117">
        <f t="shared" si="109"/>
        <v>0</v>
      </c>
      <c r="AO34" s="117">
        <f t="shared" si="110"/>
        <v>0</v>
      </c>
      <c r="AP34" s="117">
        <f t="shared" si="111"/>
        <v>0</v>
      </c>
      <c r="AQ34" s="118">
        <f t="shared" si="112"/>
        <v>0</v>
      </c>
      <c r="AR34" s="115">
        <f t="shared" si="113"/>
        <v>0</v>
      </c>
      <c r="AS34" s="115">
        <f t="shared" si="114"/>
        <v>0</v>
      </c>
      <c r="AT34" s="115">
        <f t="shared" si="115"/>
        <v>0</v>
      </c>
      <c r="AU34" s="115">
        <f t="shared" si="116"/>
        <v>0</v>
      </c>
      <c r="AV34" s="115">
        <f t="shared" si="117"/>
        <v>0</v>
      </c>
      <c r="AW34" s="115">
        <f t="shared" si="118"/>
        <v>0</v>
      </c>
      <c r="AX34" s="115">
        <f t="shared" si="119"/>
        <v>0</v>
      </c>
      <c r="AY34" s="40"/>
    </row>
    <row r="35" spans="1:51" s="26" customFormat="1" ht="31.5" customHeight="1" outlineLevel="1" x14ac:dyDescent="0.3">
      <c r="A35" s="13"/>
      <c r="B35" s="13"/>
      <c r="C35" s="13"/>
      <c r="D35" s="69">
        <v>3</v>
      </c>
      <c r="E35" s="70" t="s">
        <v>57</v>
      </c>
      <c r="F35" s="49">
        <v>0</v>
      </c>
      <c r="G35" s="95" t="str">
        <f t="shared" si="5"/>
        <v>YES</v>
      </c>
      <c r="H35" s="97">
        <v>43673</v>
      </c>
      <c r="I35" s="97">
        <v>43673</v>
      </c>
      <c r="J35" s="96">
        <f t="shared" si="13"/>
        <v>43692</v>
      </c>
      <c r="K35" s="35">
        <f t="shared" si="14"/>
        <v>43692</v>
      </c>
      <c r="L35" s="102">
        <v>20</v>
      </c>
      <c r="M35" s="36">
        <v>20</v>
      </c>
      <c r="N35" s="105">
        <v>8</v>
      </c>
      <c r="O35" s="37">
        <v>8</v>
      </c>
      <c r="P35" s="114" t="str">
        <f t="shared" si="85"/>
        <v/>
      </c>
      <c r="Q35" s="115" t="str">
        <f t="shared" si="86"/>
        <v/>
      </c>
      <c r="R35" s="115" t="str">
        <f t="shared" si="87"/>
        <v/>
      </c>
      <c r="S35" s="115" t="str">
        <f t="shared" si="88"/>
        <v/>
      </c>
      <c r="T35" s="115" t="str">
        <f t="shared" si="89"/>
        <v/>
      </c>
      <c r="U35" s="115" t="str">
        <f t="shared" si="90"/>
        <v/>
      </c>
      <c r="V35" s="116" t="str">
        <f t="shared" si="91"/>
        <v/>
      </c>
      <c r="W35" s="114" t="str">
        <f t="shared" si="92"/>
        <v/>
      </c>
      <c r="X35" s="117" t="str">
        <f t="shared" si="93"/>
        <v/>
      </c>
      <c r="Y35" s="117" t="str">
        <f t="shared" si="94"/>
        <v/>
      </c>
      <c r="Z35" s="117" t="str">
        <f t="shared" si="95"/>
        <v/>
      </c>
      <c r="AA35" s="117" t="str">
        <f t="shared" si="96"/>
        <v/>
      </c>
      <c r="AB35" s="117" t="str">
        <f t="shared" si="97"/>
        <v/>
      </c>
      <c r="AC35" s="118" t="str">
        <f t="shared" si="98"/>
        <v/>
      </c>
      <c r="AD35" s="114" t="str">
        <f t="shared" si="99"/>
        <v/>
      </c>
      <c r="AE35" s="117">
        <f t="shared" si="100"/>
        <v>0</v>
      </c>
      <c r="AF35" s="117">
        <f t="shared" si="101"/>
        <v>0</v>
      </c>
      <c r="AG35" s="117">
        <f t="shared" si="102"/>
        <v>0</v>
      </c>
      <c r="AH35" s="117">
        <f t="shared" si="103"/>
        <v>0</v>
      </c>
      <c r="AI35" s="117">
        <f t="shared" si="104"/>
        <v>0</v>
      </c>
      <c r="AJ35" s="118">
        <f t="shared" si="105"/>
        <v>0</v>
      </c>
      <c r="AK35" s="114">
        <f t="shared" si="106"/>
        <v>0</v>
      </c>
      <c r="AL35" s="117">
        <f t="shared" si="107"/>
        <v>0</v>
      </c>
      <c r="AM35" s="117">
        <f t="shared" si="108"/>
        <v>0</v>
      </c>
      <c r="AN35" s="117">
        <f t="shared" si="109"/>
        <v>0</v>
      </c>
      <c r="AO35" s="117">
        <f t="shared" si="110"/>
        <v>0</v>
      </c>
      <c r="AP35" s="117">
        <f t="shared" si="111"/>
        <v>0</v>
      </c>
      <c r="AQ35" s="118">
        <f t="shared" si="112"/>
        <v>0</v>
      </c>
      <c r="AR35" s="115">
        <f t="shared" si="113"/>
        <v>0</v>
      </c>
      <c r="AS35" s="115">
        <f t="shared" si="114"/>
        <v>0</v>
      </c>
      <c r="AT35" s="115">
        <f t="shared" si="115"/>
        <v>0</v>
      </c>
      <c r="AU35" s="115">
        <f t="shared" si="116"/>
        <v>0</v>
      </c>
      <c r="AV35" s="115">
        <f t="shared" si="117"/>
        <v>0</v>
      </c>
      <c r="AW35" s="115">
        <f t="shared" si="118"/>
        <v>0</v>
      </c>
      <c r="AX35" s="115">
        <f t="shared" si="119"/>
        <v>0</v>
      </c>
      <c r="AY35" s="40"/>
    </row>
    <row r="36" spans="1:51" s="26" customFormat="1" ht="31.5" customHeight="1" outlineLevel="1" x14ac:dyDescent="0.3">
      <c r="A36" s="13"/>
      <c r="B36" s="13"/>
      <c r="C36" s="13"/>
      <c r="D36" s="69">
        <v>4</v>
      </c>
      <c r="E36" s="70" t="s">
        <v>58</v>
      </c>
      <c r="F36" s="49">
        <v>0</v>
      </c>
      <c r="G36" s="95" t="str">
        <f t="shared" si="5"/>
        <v>YES</v>
      </c>
      <c r="H36" s="97">
        <v>43693</v>
      </c>
      <c r="I36" s="97">
        <v>43693</v>
      </c>
      <c r="J36" s="96">
        <f t="shared" si="13"/>
        <v>43693</v>
      </c>
      <c r="K36" s="35">
        <f t="shared" si="14"/>
        <v>43693</v>
      </c>
      <c r="L36" s="102">
        <v>1</v>
      </c>
      <c r="M36" s="36">
        <v>1</v>
      </c>
      <c r="N36" s="105">
        <v>2</v>
      </c>
      <c r="O36" s="37">
        <v>2</v>
      </c>
      <c r="P36" s="114">
        <f t="shared" si="85"/>
        <v>0</v>
      </c>
      <c r="Q36" s="115">
        <f t="shared" si="86"/>
        <v>0</v>
      </c>
      <c r="R36" s="115">
        <f t="shared" si="87"/>
        <v>0</v>
      </c>
      <c r="S36" s="115">
        <f t="shared" si="88"/>
        <v>0</v>
      </c>
      <c r="T36" s="115">
        <f t="shared" si="89"/>
        <v>0</v>
      </c>
      <c r="U36" s="115">
        <f t="shared" si="90"/>
        <v>0</v>
      </c>
      <c r="V36" s="116">
        <f t="shared" si="91"/>
        <v>0</v>
      </c>
      <c r="W36" s="114">
        <f t="shared" si="92"/>
        <v>0</v>
      </c>
      <c r="X36" s="117">
        <f t="shared" si="93"/>
        <v>0</v>
      </c>
      <c r="Y36" s="117">
        <f t="shared" si="94"/>
        <v>0</v>
      </c>
      <c r="Z36" s="117">
        <f t="shared" si="95"/>
        <v>0</v>
      </c>
      <c r="AA36" s="117">
        <f t="shared" si="96"/>
        <v>0</v>
      </c>
      <c r="AB36" s="117">
        <f t="shared" si="97"/>
        <v>0</v>
      </c>
      <c r="AC36" s="118">
        <f t="shared" si="98"/>
        <v>0</v>
      </c>
      <c r="AD36" s="114">
        <f t="shared" si="99"/>
        <v>0</v>
      </c>
      <c r="AE36" s="117" t="str">
        <f t="shared" si="100"/>
        <v/>
      </c>
      <c r="AF36" s="117">
        <f t="shared" si="101"/>
        <v>0</v>
      </c>
      <c r="AG36" s="117">
        <f t="shared" si="102"/>
        <v>0</v>
      </c>
      <c r="AH36" s="117">
        <f t="shared" si="103"/>
        <v>0</v>
      </c>
      <c r="AI36" s="117">
        <f t="shared" si="104"/>
        <v>0</v>
      </c>
      <c r="AJ36" s="118">
        <f t="shared" si="105"/>
        <v>0</v>
      </c>
      <c r="AK36" s="114">
        <f t="shared" si="106"/>
        <v>0</v>
      </c>
      <c r="AL36" s="117">
        <f t="shared" si="107"/>
        <v>0</v>
      </c>
      <c r="AM36" s="117">
        <f t="shared" si="108"/>
        <v>0</v>
      </c>
      <c r="AN36" s="117">
        <f t="shared" si="109"/>
        <v>0</v>
      </c>
      <c r="AO36" s="117">
        <f t="shared" si="110"/>
        <v>0</v>
      </c>
      <c r="AP36" s="117">
        <f t="shared" si="111"/>
        <v>0</v>
      </c>
      <c r="AQ36" s="118">
        <f t="shared" si="112"/>
        <v>0</v>
      </c>
      <c r="AR36" s="115">
        <f t="shared" si="113"/>
        <v>0</v>
      </c>
      <c r="AS36" s="115">
        <f t="shared" si="114"/>
        <v>0</v>
      </c>
      <c r="AT36" s="115">
        <f t="shared" si="115"/>
        <v>0</v>
      </c>
      <c r="AU36" s="115">
        <f t="shared" si="116"/>
        <v>0</v>
      </c>
      <c r="AV36" s="115">
        <f t="shared" si="117"/>
        <v>0</v>
      </c>
      <c r="AW36" s="115">
        <f t="shared" si="118"/>
        <v>0</v>
      </c>
      <c r="AX36" s="115">
        <f t="shared" si="119"/>
        <v>0</v>
      </c>
      <c r="AY36" s="40"/>
    </row>
    <row r="37" spans="1:51" s="188" customFormat="1" ht="31.5" customHeight="1" outlineLevel="1" x14ac:dyDescent="0.3">
      <c r="A37" s="169"/>
      <c r="B37" s="169"/>
      <c r="C37" s="169"/>
      <c r="D37" s="170" t="s">
        <v>129</v>
      </c>
      <c r="E37" s="171" t="s">
        <v>128</v>
      </c>
      <c r="F37" s="172">
        <v>0</v>
      </c>
      <c r="G37" s="173" t="str">
        <f t="shared" si="5"/>
        <v>YES</v>
      </c>
      <c r="H37" s="174">
        <f>+MIN(H38:H41)</f>
        <v>43661</v>
      </c>
      <c r="I37" s="175">
        <f>+MIN(I38:I41)</f>
        <v>43661</v>
      </c>
      <c r="J37" s="176">
        <f t="shared" si="13"/>
        <v>43660</v>
      </c>
      <c r="K37" s="177">
        <f t="shared" si="14"/>
        <v>43660</v>
      </c>
      <c r="L37" s="178"/>
      <c r="M37" s="179"/>
      <c r="N37" s="180"/>
      <c r="O37" s="181"/>
      <c r="P37" s="182">
        <f t="shared" si="85"/>
        <v>0</v>
      </c>
      <c r="Q37" s="183">
        <f t="shared" si="86"/>
        <v>0</v>
      </c>
      <c r="R37" s="183">
        <f t="shared" si="87"/>
        <v>0</v>
      </c>
      <c r="S37" s="183">
        <f t="shared" si="88"/>
        <v>0</v>
      </c>
      <c r="T37" s="183">
        <f t="shared" si="89"/>
        <v>0</v>
      </c>
      <c r="U37" s="183">
        <f t="shared" si="90"/>
        <v>0</v>
      </c>
      <c r="V37" s="184">
        <f t="shared" si="91"/>
        <v>0</v>
      </c>
      <c r="W37" s="182">
        <f t="shared" si="92"/>
        <v>0</v>
      </c>
      <c r="X37" s="185">
        <f t="shared" si="93"/>
        <v>0</v>
      </c>
      <c r="Y37" s="185">
        <f t="shared" si="94"/>
        <v>0</v>
      </c>
      <c r="Z37" s="185">
        <f t="shared" si="95"/>
        <v>0</v>
      </c>
      <c r="AA37" s="185">
        <f t="shared" si="96"/>
        <v>0</v>
      </c>
      <c r="AB37" s="185">
        <f t="shared" si="97"/>
        <v>0</v>
      </c>
      <c r="AC37" s="186">
        <f t="shared" si="98"/>
        <v>0</v>
      </c>
      <c r="AD37" s="182">
        <f t="shared" si="99"/>
        <v>0</v>
      </c>
      <c r="AE37" s="185">
        <f t="shared" si="100"/>
        <v>0</v>
      </c>
      <c r="AF37" s="185">
        <f t="shared" si="101"/>
        <v>0</v>
      </c>
      <c r="AG37" s="185">
        <f t="shared" si="102"/>
        <v>0</v>
      </c>
      <c r="AH37" s="185">
        <f t="shared" si="103"/>
        <v>0</v>
      </c>
      <c r="AI37" s="185">
        <f t="shared" si="104"/>
        <v>0</v>
      </c>
      <c r="AJ37" s="186">
        <f t="shared" si="105"/>
        <v>0</v>
      </c>
      <c r="AK37" s="182">
        <f t="shared" si="106"/>
        <v>0</v>
      </c>
      <c r="AL37" s="185">
        <f t="shared" si="107"/>
        <v>0</v>
      </c>
      <c r="AM37" s="185">
        <f t="shared" si="108"/>
        <v>0</v>
      </c>
      <c r="AN37" s="185">
        <f t="shared" si="109"/>
        <v>0</v>
      </c>
      <c r="AO37" s="185">
        <f t="shared" si="110"/>
        <v>0</v>
      </c>
      <c r="AP37" s="185">
        <f t="shared" si="111"/>
        <v>0</v>
      </c>
      <c r="AQ37" s="186">
        <f t="shared" si="112"/>
        <v>0</v>
      </c>
      <c r="AR37" s="183">
        <f t="shared" si="113"/>
        <v>0</v>
      </c>
      <c r="AS37" s="183">
        <f t="shared" si="114"/>
        <v>0</v>
      </c>
      <c r="AT37" s="183">
        <f t="shared" si="115"/>
        <v>0</v>
      </c>
      <c r="AU37" s="183">
        <f t="shared" si="116"/>
        <v>0</v>
      </c>
      <c r="AV37" s="183">
        <f t="shared" si="117"/>
        <v>0</v>
      </c>
      <c r="AW37" s="183">
        <f t="shared" si="118"/>
        <v>0</v>
      </c>
      <c r="AX37" s="183">
        <f t="shared" si="119"/>
        <v>0</v>
      </c>
      <c r="AY37" s="187"/>
    </row>
    <row r="38" spans="1:51" s="26" customFormat="1" ht="31.5" customHeight="1" outlineLevel="1" x14ac:dyDescent="0.3">
      <c r="A38" s="13"/>
      <c r="B38" s="13"/>
      <c r="C38" s="13"/>
      <c r="D38" s="69">
        <v>1</v>
      </c>
      <c r="E38" s="70" t="s">
        <v>123</v>
      </c>
      <c r="F38" s="49">
        <v>0</v>
      </c>
      <c r="G38" s="95" t="str">
        <f t="shared" si="5"/>
        <v>YES</v>
      </c>
      <c r="H38" s="97">
        <v>43673</v>
      </c>
      <c r="I38" s="97">
        <v>43673</v>
      </c>
      <c r="J38" s="96">
        <f t="shared" si="13"/>
        <v>43692</v>
      </c>
      <c r="K38" s="35">
        <f t="shared" si="14"/>
        <v>43692</v>
      </c>
      <c r="L38" s="102">
        <v>20</v>
      </c>
      <c r="M38" s="36">
        <v>20</v>
      </c>
      <c r="N38" s="105">
        <v>8</v>
      </c>
      <c r="O38" s="37">
        <v>8</v>
      </c>
      <c r="P38" s="114" t="str">
        <f t="shared" ref="P38:P42" si="120">+IF(AND(P$16&gt;=$I38,P$16&lt;=$K38),"",0)</f>
        <v/>
      </c>
      <c r="Q38" s="115" t="str">
        <f t="shared" ref="Q38:Q42" si="121">+IF(AND(Q$16&gt;=$I38,Q$16&lt;=$K38),"",0)</f>
        <v/>
      </c>
      <c r="R38" s="115" t="str">
        <f t="shared" ref="R38:R42" si="122">+IF(AND(R$16&gt;=$I38,R$16&lt;=$K38),"",0)</f>
        <v/>
      </c>
      <c r="S38" s="115" t="str">
        <f t="shared" ref="S38:S42" si="123">+IF(AND(S$16&gt;=$I38,S$16&lt;=$K38),"",0)</f>
        <v/>
      </c>
      <c r="T38" s="115" t="str">
        <f t="shared" ref="T38:T42" si="124">+IF(AND(T$16&gt;=$I38,T$16&lt;=$K38),"",0)</f>
        <v/>
      </c>
      <c r="U38" s="115" t="str">
        <f t="shared" ref="U38:U42" si="125">+IF(AND(U$16&gt;=$I38,U$16&lt;=$K38),"",0)</f>
        <v/>
      </c>
      <c r="V38" s="116" t="str">
        <f t="shared" ref="V38:V42" si="126">+IF(AND(V$16&gt;=$I38,V$16&lt;=$K38),"",0)</f>
        <v/>
      </c>
      <c r="W38" s="114" t="str">
        <f t="shared" ref="W38:W42" si="127">+IF(AND(W$16&gt;=$I38,W$16&lt;=$K38),"",0)</f>
        <v/>
      </c>
      <c r="X38" s="117" t="str">
        <f t="shared" ref="X38:X42" si="128">+IF(AND(X$16&gt;=$I38,X$16&lt;=$K38),"",0)</f>
        <v/>
      </c>
      <c r="Y38" s="117" t="str">
        <f t="shared" ref="Y38:Y42" si="129">+IF(AND(Y$16&gt;=$I38,Y$16&lt;=$K38),"",0)</f>
        <v/>
      </c>
      <c r="Z38" s="117" t="str">
        <f t="shared" ref="Z38:Z42" si="130">+IF(AND(Z$16&gt;=$I38,Z$16&lt;=$K38),"",0)</f>
        <v/>
      </c>
      <c r="AA38" s="117" t="str">
        <f t="shared" ref="AA38:AA42" si="131">+IF(AND(AA$16&gt;=$I38,AA$16&lt;=$K38),"",0)</f>
        <v/>
      </c>
      <c r="AB38" s="117" t="str">
        <f t="shared" ref="AB38:AB42" si="132">+IF(AND(AB$16&gt;=$I38,AB$16&lt;=$K38),"",0)</f>
        <v/>
      </c>
      <c r="AC38" s="118" t="str">
        <f t="shared" ref="AC38:AC42" si="133">+IF(AND(AC$16&gt;=$I38,AC$16&lt;=$K38),"",0)</f>
        <v/>
      </c>
      <c r="AD38" s="114" t="str">
        <f t="shared" ref="AD38:AD42" si="134">+IF(AND(AD$16&gt;=$I38,AD$16&lt;=$K38),"",0)</f>
        <v/>
      </c>
      <c r="AE38" s="117">
        <f t="shared" ref="AE38:AE42" si="135">+IF(AND(AE$16&gt;=$I38,AE$16&lt;=$K38),"",0)</f>
        <v>0</v>
      </c>
      <c r="AF38" s="117">
        <f t="shared" ref="AF38:AF42" si="136">+IF(AND(AF$16&gt;=$I38,AF$16&lt;=$K38),"",0)</f>
        <v>0</v>
      </c>
      <c r="AG38" s="117">
        <f t="shared" ref="AG38:AG42" si="137">+IF(AND(AG$16&gt;=$I38,AG$16&lt;=$K38),"",0)</f>
        <v>0</v>
      </c>
      <c r="AH38" s="117">
        <f t="shared" ref="AH38:AH42" si="138">+IF(AND(AH$16&gt;=$I38,AH$16&lt;=$K38),"",0)</f>
        <v>0</v>
      </c>
      <c r="AI38" s="117">
        <f t="shared" ref="AI38:AI42" si="139">+IF(AND(AI$16&gt;=$I38,AI$16&lt;=$K38),"",0)</f>
        <v>0</v>
      </c>
      <c r="AJ38" s="118">
        <f t="shared" ref="AJ38:AJ42" si="140">+IF(AND(AJ$16&gt;=$I38,AJ$16&lt;=$K38),"",0)</f>
        <v>0</v>
      </c>
      <c r="AK38" s="114">
        <f t="shared" ref="AK38:AK42" si="141">+IF(AND(AK$16&gt;=$I38,AK$16&lt;=$K38),"",0)</f>
        <v>0</v>
      </c>
      <c r="AL38" s="117">
        <f t="shared" ref="AL38:AL42" si="142">+IF(AND(AL$16&gt;=$I38,AL$16&lt;=$K38),"",0)</f>
        <v>0</v>
      </c>
      <c r="AM38" s="117">
        <f t="shared" ref="AM38:AM42" si="143">+IF(AND(AM$16&gt;=$I38,AM$16&lt;=$K38),"",0)</f>
        <v>0</v>
      </c>
      <c r="AN38" s="117">
        <f t="shared" ref="AN38:AN42" si="144">+IF(AND(AN$16&gt;=$I38,AN$16&lt;=$K38),"",0)</f>
        <v>0</v>
      </c>
      <c r="AO38" s="117">
        <f t="shared" ref="AO38:AO42" si="145">+IF(AND(AO$16&gt;=$I38,AO$16&lt;=$K38),"",0)</f>
        <v>0</v>
      </c>
      <c r="AP38" s="117">
        <f t="shared" ref="AP38:AP42" si="146">+IF(AND(AP$16&gt;=$I38,AP$16&lt;=$K38),"",0)</f>
        <v>0</v>
      </c>
      <c r="AQ38" s="118">
        <f t="shared" ref="AQ38:AQ42" si="147">+IF(AND(AQ$16&gt;=$I38,AQ$16&lt;=$K38),"",0)</f>
        <v>0</v>
      </c>
      <c r="AR38" s="115">
        <f t="shared" ref="AR38:AR42" si="148">+IF(AND(AR$16&gt;=$I38,AR$16&lt;=$K38),"",0)</f>
        <v>0</v>
      </c>
      <c r="AS38" s="115">
        <f t="shared" ref="AS38:AS42" si="149">+IF(AND(AS$16&gt;=$I38,AS$16&lt;=$K38),"",0)</f>
        <v>0</v>
      </c>
      <c r="AT38" s="115">
        <f t="shared" ref="AT38:AT42" si="150">+IF(AND(AT$16&gt;=$I38,AT$16&lt;=$K38),"",0)</f>
        <v>0</v>
      </c>
      <c r="AU38" s="115">
        <f t="shared" ref="AU38:AU42" si="151">+IF(AND(AU$16&gt;=$I38,AU$16&lt;=$K38),"",0)</f>
        <v>0</v>
      </c>
      <c r="AV38" s="115">
        <f t="shared" ref="AV38:AV42" si="152">+IF(AND(AV$16&gt;=$I38,AV$16&lt;=$K38),"",0)</f>
        <v>0</v>
      </c>
      <c r="AW38" s="115">
        <f t="shared" ref="AW38:AW42" si="153">+IF(AND(AW$16&gt;=$I38,AW$16&lt;=$K38),"",0)</f>
        <v>0</v>
      </c>
      <c r="AX38" s="115">
        <f t="shared" ref="AX38:AX42" si="154">+IF(AND(AX$16&gt;=$I38,AX$16&lt;=$K38),"",0)</f>
        <v>0</v>
      </c>
      <c r="AY38" s="40"/>
    </row>
    <row r="39" spans="1:51" s="26" customFormat="1" ht="31.5" customHeight="1" outlineLevel="1" x14ac:dyDescent="0.3">
      <c r="A39" s="13"/>
      <c r="B39" s="13"/>
      <c r="C39" s="13"/>
      <c r="D39" s="69">
        <v>2</v>
      </c>
      <c r="E39" s="70" t="s">
        <v>124</v>
      </c>
      <c r="F39" s="49">
        <v>0</v>
      </c>
      <c r="G39" s="95" t="str">
        <f t="shared" si="5"/>
        <v>YES</v>
      </c>
      <c r="H39" s="97">
        <v>43661</v>
      </c>
      <c r="I39" s="97">
        <v>43661</v>
      </c>
      <c r="J39" s="96">
        <f t="shared" si="13"/>
        <v>43663</v>
      </c>
      <c r="K39" s="35">
        <f t="shared" si="14"/>
        <v>43663</v>
      </c>
      <c r="L39" s="102">
        <v>3</v>
      </c>
      <c r="M39" s="36">
        <v>3</v>
      </c>
      <c r="N39" s="105">
        <v>3</v>
      </c>
      <c r="O39" s="37">
        <v>3</v>
      </c>
      <c r="P39" s="114">
        <f t="shared" si="120"/>
        <v>0</v>
      </c>
      <c r="Q39" s="115">
        <f t="shared" si="121"/>
        <v>0</v>
      </c>
      <c r="R39" s="115">
        <f t="shared" si="122"/>
        <v>0</v>
      </c>
      <c r="S39" s="115">
        <f t="shared" si="123"/>
        <v>0</v>
      </c>
      <c r="T39" s="115">
        <f t="shared" si="124"/>
        <v>0</v>
      </c>
      <c r="U39" s="115">
        <f t="shared" si="125"/>
        <v>0</v>
      </c>
      <c r="V39" s="116">
        <f t="shared" si="126"/>
        <v>0</v>
      </c>
      <c r="W39" s="114">
        <f t="shared" si="127"/>
        <v>0</v>
      </c>
      <c r="X39" s="117">
        <f t="shared" si="128"/>
        <v>0</v>
      </c>
      <c r="Y39" s="117">
        <f t="shared" si="129"/>
        <v>0</v>
      </c>
      <c r="Z39" s="117">
        <f t="shared" si="130"/>
        <v>0</v>
      </c>
      <c r="AA39" s="117">
        <f t="shared" si="131"/>
        <v>0</v>
      </c>
      <c r="AB39" s="117">
        <f t="shared" si="132"/>
        <v>0</v>
      </c>
      <c r="AC39" s="118">
        <f t="shared" si="133"/>
        <v>0</v>
      </c>
      <c r="AD39" s="114">
        <f t="shared" si="134"/>
        <v>0</v>
      </c>
      <c r="AE39" s="117">
        <f t="shared" si="135"/>
        <v>0</v>
      </c>
      <c r="AF39" s="117">
        <f t="shared" si="136"/>
        <v>0</v>
      </c>
      <c r="AG39" s="117">
        <f t="shared" si="137"/>
        <v>0</v>
      </c>
      <c r="AH39" s="117">
        <f t="shared" si="138"/>
        <v>0</v>
      </c>
      <c r="AI39" s="117">
        <f t="shared" si="139"/>
        <v>0</v>
      </c>
      <c r="AJ39" s="118">
        <f t="shared" si="140"/>
        <v>0</v>
      </c>
      <c r="AK39" s="114">
        <f t="shared" si="141"/>
        <v>0</v>
      </c>
      <c r="AL39" s="117">
        <f t="shared" si="142"/>
        <v>0</v>
      </c>
      <c r="AM39" s="117">
        <f t="shared" si="143"/>
        <v>0</v>
      </c>
      <c r="AN39" s="117">
        <f t="shared" si="144"/>
        <v>0</v>
      </c>
      <c r="AO39" s="117">
        <f t="shared" si="145"/>
        <v>0</v>
      </c>
      <c r="AP39" s="117">
        <f t="shared" si="146"/>
        <v>0</v>
      </c>
      <c r="AQ39" s="118">
        <f t="shared" si="147"/>
        <v>0</v>
      </c>
      <c r="AR39" s="115">
        <f t="shared" si="148"/>
        <v>0</v>
      </c>
      <c r="AS39" s="115">
        <f t="shared" si="149"/>
        <v>0</v>
      </c>
      <c r="AT39" s="115">
        <f t="shared" si="150"/>
        <v>0</v>
      </c>
      <c r="AU39" s="115">
        <f t="shared" si="151"/>
        <v>0</v>
      </c>
      <c r="AV39" s="115">
        <f t="shared" si="152"/>
        <v>0</v>
      </c>
      <c r="AW39" s="115">
        <f t="shared" si="153"/>
        <v>0</v>
      </c>
      <c r="AX39" s="115">
        <f t="shared" si="154"/>
        <v>0</v>
      </c>
      <c r="AY39" s="40"/>
    </row>
    <row r="40" spans="1:51" s="26" customFormat="1" ht="31.5" customHeight="1" outlineLevel="1" x14ac:dyDescent="0.3">
      <c r="A40" s="13"/>
      <c r="B40" s="13"/>
      <c r="C40" s="13"/>
      <c r="D40" s="69">
        <v>3</v>
      </c>
      <c r="E40" s="70" t="s">
        <v>57</v>
      </c>
      <c r="F40" s="49">
        <v>0</v>
      </c>
      <c r="G40" s="95" t="str">
        <f t="shared" si="5"/>
        <v>YES</v>
      </c>
      <c r="H40" s="97">
        <v>43696</v>
      </c>
      <c r="I40" s="97">
        <v>43696</v>
      </c>
      <c r="J40" s="96">
        <f t="shared" si="13"/>
        <v>43710</v>
      </c>
      <c r="K40" s="35">
        <f t="shared" si="14"/>
        <v>43710</v>
      </c>
      <c r="L40" s="102">
        <v>15</v>
      </c>
      <c r="M40" s="36">
        <v>15</v>
      </c>
      <c r="N40" s="105">
        <v>8</v>
      </c>
      <c r="O40" s="37">
        <v>8</v>
      </c>
      <c r="P40" s="114">
        <f t="shared" si="120"/>
        <v>0</v>
      </c>
      <c r="Q40" s="115">
        <f t="shared" si="121"/>
        <v>0</v>
      </c>
      <c r="R40" s="115">
        <f t="shared" si="122"/>
        <v>0</v>
      </c>
      <c r="S40" s="115">
        <f t="shared" si="123"/>
        <v>0</v>
      </c>
      <c r="T40" s="115">
        <f t="shared" si="124"/>
        <v>0</v>
      </c>
      <c r="U40" s="115">
        <f t="shared" si="125"/>
        <v>0</v>
      </c>
      <c r="V40" s="116">
        <f t="shared" si="126"/>
        <v>0</v>
      </c>
      <c r="W40" s="114">
        <f t="shared" si="127"/>
        <v>0</v>
      </c>
      <c r="X40" s="117">
        <f t="shared" si="128"/>
        <v>0</v>
      </c>
      <c r="Y40" s="117">
        <f t="shared" si="129"/>
        <v>0</v>
      </c>
      <c r="Z40" s="117">
        <f t="shared" si="130"/>
        <v>0</v>
      </c>
      <c r="AA40" s="117">
        <f t="shared" si="131"/>
        <v>0</v>
      </c>
      <c r="AB40" s="117">
        <f t="shared" si="132"/>
        <v>0</v>
      </c>
      <c r="AC40" s="118">
        <f t="shared" si="133"/>
        <v>0</v>
      </c>
      <c r="AD40" s="114">
        <f t="shared" si="134"/>
        <v>0</v>
      </c>
      <c r="AE40" s="117">
        <f t="shared" si="135"/>
        <v>0</v>
      </c>
      <c r="AF40" s="117">
        <f t="shared" si="136"/>
        <v>0</v>
      </c>
      <c r="AG40" s="117">
        <f t="shared" si="137"/>
        <v>0</v>
      </c>
      <c r="AH40" s="117" t="str">
        <f t="shared" si="138"/>
        <v/>
      </c>
      <c r="AI40" s="117" t="str">
        <f t="shared" si="139"/>
        <v/>
      </c>
      <c r="AJ40" s="118" t="str">
        <f t="shared" si="140"/>
        <v/>
      </c>
      <c r="AK40" s="114" t="str">
        <f t="shared" si="141"/>
        <v/>
      </c>
      <c r="AL40" s="117" t="str">
        <f t="shared" si="142"/>
        <v/>
      </c>
      <c r="AM40" s="117" t="str">
        <f t="shared" si="143"/>
        <v/>
      </c>
      <c r="AN40" s="117" t="str">
        <f t="shared" si="144"/>
        <v/>
      </c>
      <c r="AO40" s="117" t="str">
        <f t="shared" si="145"/>
        <v/>
      </c>
      <c r="AP40" s="117" t="str">
        <f t="shared" si="146"/>
        <v/>
      </c>
      <c r="AQ40" s="118" t="str">
        <f t="shared" si="147"/>
        <v/>
      </c>
      <c r="AR40" s="115" t="str">
        <f t="shared" si="148"/>
        <v/>
      </c>
      <c r="AS40" s="115" t="str">
        <f t="shared" si="149"/>
        <v/>
      </c>
      <c r="AT40" s="115" t="str">
        <f t="shared" si="150"/>
        <v/>
      </c>
      <c r="AU40" s="115" t="str">
        <f t="shared" si="151"/>
        <v/>
      </c>
      <c r="AV40" s="115" t="str">
        <f t="shared" si="152"/>
        <v/>
      </c>
      <c r="AW40" s="115">
        <f t="shared" si="153"/>
        <v>0</v>
      </c>
      <c r="AX40" s="115">
        <f t="shared" si="154"/>
        <v>0</v>
      </c>
      <c r="AY40" s="40"/>
    </row>
    <row r="41" spans="1:51" s="26" customFormat="1" ht="31.5" customHeight="1" outlineLevel="1" x14ac:dyDescent="0.3">
      <c r="A41" s="13"/>
      <c r="B41" s="13"/>
      <c r="C41" s="13"/>
      <c r="D41" s="69">
        <v>4</v>
      </c>
      <c r="E41" s="70" t="s">
        <v>58</v>
      </c>
      <c r="F41" s="49">
        <v>0</v>
      </c>
      <c r="G41" s="95" t="str">
        <f t="shared" si="5"/>
        <v>YES</v>
      </c>
      <c r="H41" s="97">
        <v>43716</v>
      </c>
      <c r="I41" s="97">
        <v>43716</v>
      </c>
      <c r="J41" s="96">
        <f t="shared" si="13"/>
        <v>43716</v>
      </c>
      <c r="K41" s="35">
        <f t="shared" si="14"/>
        <v>43716</v>
      </c>
      <c r="L41" s="102">
        <v>1</v>
      </c>
      <c r="M41" s="36">
        <v>1</v>
      </c>
      <c r="N41" s="105">
        <v>2</v>
      </c>
      <c r="O41" s="37">
        <v>2</v>
      </c>
      <c r="P41" s="114">
        <f t="shared" si="120"/>
        <v>0</v>
      </c>
      <c r="Q41" s="115">
        <f t="shared" si="121"/>
        <v>0</v>
      </c>
      <c r="R41" s="115">
        <f t="shared" si="122"/>
        <v>0</v>
      </c>
      <c r="S41" s="115">
        <f t="shared" si="123"/>
        <v>0</v>
      </c>
      <c r="T41" s="115">
        <f t="shared" si="124"/>
        <v>0</v>
      </c>
      <c r="U41" s="115">
        <f t="shared" si="125"/>
        <v>0</v>
      </c>
      <c r="V41" s="116">
        <f t="shared" si="126"/>
        <v>0</v>
      </c>
      <c r="W41" s="114">
        <f t="shared" si="127"/>
        <v>0</v>
      </c>
      <c r="X41" s="117">
        <f t="shared" si="128"/>
        <v>0</v>
      </c>
      <c r="Y41" s="117">
        <f t="shared" si="129"/>
        <v>0</v>
      </c>
      <c r="Z41" s="117">
        <f t="shared" si="130"/>
        <v>0</v>
      </c>
      <c r="AA41" s="117">
        <f t="shared" si="131"/>
        <v>0</v>
      </c>
      <c r="AB41" s="117">
        <f t="shared" si="132"/>
        <v>0</v>
      </c>
      <c r="AC41" s="118">
        <f t="shared" si="133"/>
        <v>0</v>
      </c>
      <c r="AD41" s="114">
        <f t="shared" si="134"/>
        <v>0</v>
      </c>
      <c r="AE41" s="117">
        <f t="shared" si="135"/>
        <v>0</v>
      </c>
      <c r="AF41" s="117">
        <f t="shared" si="136"/>
        <v>0</v>
      </c>
      <c r="AG41" s="117">
        <f t="shared" si="137"/>
        <v>0</v>
      </c>
      <c r="AH41" s="117">
        <f t="shared" si="138"/>
        <v>0</v>
      </c>
      <c r="AI41" s="117">
        <f t="shared" si="139"/>
        <v>0</v>
      </c>
      <c r="AJ41" s="118">
        <f t="shared" si="140"/>
        <v>0</v>
      </c>
      <c r="AK41" s="114">
        <f t="shared" si="141"/>
        <v>0</v>
      </c>
      <c r="AL41" s="117">
        <f t="shared" si="142"/>
        <v>0</v>
      </c>
      <c r="AM41" s="117">
        <f t="shared" si="143"/>
        <v>0</v>
      </c>
      <c r="AN41" s="117">
        <f t="shared" si="144"/>
        <v>0</v>
      </c>
      <c r="AO41" s="117">
        <f t="shared" si="145"/>
        <v>0</v>
      </c>
      <c r="AP41" s="117">
        <f t="shared" si="146"/>
        <v>0</v>
      </c>
      <c r="AQ41" s="118">
        <f t="shared" si="147"/>
        <v>0</v>
      </c>
      <c r="AR41" s="115">
        <f t="shared" si="148"/>
        <v>0</v>
      </c>
      <c r="AS41" s="115">
        <f t="shared" si="149"/>
        <v>0</v>
      </c>
      <c r="AT41" s="115">
        <f t="shared" si="150"/>
        <v>0</v>
      </c>
      <c r="AU41" s="115">
        <f t="shared" si="151"/>
        <v>0</v>
      </c>
      <c r="AV41" s="115">
        <f t="shared" si="152"/>
        <v>0</v>
      </c>
      <c r="AW41" s="115">
        <f t="shared" si="153"/>
        <v>0</v>
      </c>
      <c r="AX41" s="115">
        <f t="shared" si="154"/>
        <v>0</v>
      </c>
      <c r="AY41" s="40"/>
    </row>
    <row r="42" spans="1:51" s="188" customFormat="1" ht="31.5" customHeight="1" outlineLevel="1" x14ac:dyDescent="0.3">
      <c r="A42" s="169"/>
      <c r="B42" s="169"/>
      <c r="C42" s="169"/>
      <c r="D42" s="170" t="s">
        <v>131</v>
      </c>
      <c r="E42" s="171" t="s">
        <v>130</v>
      </c>
      <c r="F42" s="172">
        <v>0</v>
      </c>
      <c r="G42" s="173" t="str">
        <f t="shared" si="5"/>
        <v>YES</v>
      </c>
      <c r="H42" s="174">
        <f>+MIN(H43:H46)</f>
        <v>43680</v>
      </c>
      <c r="I42" s="175">
        <f>+MIN(I43:I46)</f>
        <v>43680</v>
      </c>
      <c r="J42" s="176">
        <f t="shared" si="13"/>
        <v>43679</v>
      </c>
      <c r="K42" s="177">
        <f t="shared" si="14"/>
        <v>43679</v>
      </c>
      <c r="L42" s="178"/>
      <c r="M42" s="179"/>
      <c r="N42" s="180"/>
      <c r="O42" s="181"/>
      <c r="P42" s="182">
        <f t="shared" si="120"/>
        <v>0</v>
      </c>
      <c r="Q42" s="183">
        <f t="shared" si="121"/>
        <v>0</v>
      </c>
      <c r="R42" s="183">
        <f t="shared" si="122"/>
        <v>0</v>
      </c>
      <c r="S42" s="183">
        <f t="shared" si="123"/>
        <v>0</v>
      </c>
      <c r="T42" s="183">
        <f t="shared" si="124"/>
        <v>0</v>
      </c>
      <c r="U42" s="183">
        <f t="shared" si="125"/>
        <v>0</v>
      </c>
      <c r="V42" s="184">
        <f t="shared" si="126"/>
        <v>0</v>
      </c>
      <c r="W42" s="182">
        <f t="shared" si="127"/>
        <v>0</v>
      </c>
      <c r="X42" s="185">
        <f t="shared" si="128"/>
        <v>0</v>
      </c>
      <c r="Y42" s="185">
        <f t="shared" si="129"/>
        <v>0</v>
      </c>
      <c r="Z42" s="185">
        <f t="shared" si="130"/>
        <v>0</v>
      </c>
      <c r="AA42" s="185">
        <f t="shared" si="131"/>
        <v>0</v>
      </c>
      <c r="AB42" s="185">
        <f t="shared" si="132"/>
        <v>0</v>
      </c>
      <c r="AC42" s="186">
        <f t="shared" si="133"/>
        <v>0</v>
      </c>
      <c r="AD42" s="182">
        <f t="shared" si="134"/>
        <v>0</v>
      </c>
      <c r="AE42" s="185">
        <f t="shared" si="135"/>
        <v>0</v>
      </c>
      <c r="AF42" s="185">
        <f t="shared" si="136"/>
        <v>0</v>
      </c>
      <c r="AG42" s="185">
        <f t="shared" si="137"/>
        <v>0</v>
      </c>
      <c r="AH42" s="185">
        <f t="shared" si="138"/>
        <v>0</v>
      </c>
      <c r="AI42" s="185">
        <f t="shared" si="139"/>
        <v>0</v>
      </c>
      <c r="AJ42" s="186">
        <f t="shared" si="140"/>
        <v>0</v>
      </c>
      <c r="AK42" s="182">
        <f t="shared" si="141"/>
        <v>0</v>
      </c>
      <c r="AL42" s="185">
        <f t="shared" si="142"/>
        <v>0</v>
      </c>
      <c r="AM42" s="185">
        <f t="shared" si="143"/>
        <v>0</v>
      </c>
      <c r="AN42" s="185">
        <f t="shared" si="144"/>
        <v>0</v>
      </c>
      <c r="AO42" s="185">
        <f t="shared" si="145"/>
        <v>0</v>
      </c>
      <c r="AP42" s="185">
        <f t="shared" si="146"/>
        <v>0</v>
      </c>
      <c r="AQ42" s="186">
        <f t="shared" si="147"/>
        <v>0</v>
      </c>
      <c r="AR42" s="183">
        <f t="shared" si="148"/>
        <v>0</v>
      </c>
      <c r="AS42" s="183">
        <f t="shared" si="149"/>
        <v>0</v>
      </c>
      <c r="AT42" s="183">
        <f t="shared" si="150"/>
        <v>0</v>
      </c>
      <c r="AU42" s="183">
        <f t="shared" si="151"/>
        <v>0</v>
      </c>
      <c r="AV42" s="183">
        <f t="shared" si="152"/>
        <v>0</v>
      </c>
      <c r="AW42" s="183">
        <f t="shared" si="153"/>
        <v>0</v>
      </c>
      <c r="AX42" s="183">
        <f t="shared" si="154"/>
        <v>0</v>
      </c>
      <c r="AY42" s="187"/>
    </row>
    <row r="43" spans="1:51" s="26" customFormat="1" ht="31.5" customHeight="1" outlineLevel="1" x14ac:dyDescent="0.3">
      <c r="A43" s="13"/>
      <c r="B43" s="13"/>
      <c r="C43" s="13"/>
      <c r="D43" s="69">
        <v>1</v>
      </c>
      <c r="E43" s="70" t="s">
        <v>123</v>
      </c>
      <c r="F43" s="49">
        <v>0</v>
      </c>
      <c r="G43" s="95" t="str">
        <f t="shared" si="5"/>
        <v>YES</v>
      </c>
      <c r="H43" s="96">
        <v>43680</v>
      </c>
      <c r="I43" s="96">
        <v>43680</v>
      </c>
      <c r="J43" s="96">
        <f t="shared" si="13"/>
        <v>43699</v>
      </c>
      <c r="K43" s="35">
        <f t="shared" si="14"/>
        <v>43699</v>
      </c>
      <c r="L43" s="102">
        <v>20</v>
      </c>
      <c r="M43" s="36">
        <v>20</v>
      </c>
      <c r="N43" s="105">
        <v>8</v>
      </c>
      <c r="O43" s="37">
        <v>8</v>
      </c>
      <c r="P43" s="114">
        <f t="shared" ref="P43:P46" si="155">+IF(AND(P$16&gt;=$I43,P$16&lt;=$K43),"",0)</f>
        <v>0</v>
      </c>
      <c r="Q43" s="115">
        <f t="shared" ref="Q43:Q46" si="156">+IF(AND(Q$16&gt;=$I43,Q$16&lt;=$K43),"",0)</f>
        <v>0</v>
      </c>
      <c r="R43" s="115" t="str">
        <f t="shared" ref="R43:R46" si="157">+IF(AND(R$16&gt;=$I43,R$16&lt;=$K43),"",0)</f>
        <v/>
      </c>
      <c r="S43" s="115" t="str">
        <f t="shared" ref="S43:S46" si="158">+IF(AND(S$16&gt;=$I43,S$16&lt;=$K43),"",0)</f>
        <v/>
      </c>
      <c r="T43" s="115" t="str">
        <f t="shared" ref="T43:T46" si="159">+IF(AND(T$16&gt;=$I43,T$16&lt;=$K43),"",0)</f>
        <v/>
      </c>
      <c r="U43" s="115" t="str">
        <f t="shared" ref="U43:U46" si="160">+IF(AND(U$16&gt;=$I43,U$16&lt;=$K43),"",0)</f>
        <v/>
      </c>
      <c r="V43" s="116" t="str">
        <f t="shared" ref="V43:V46" si="161">+IF(AND(V$16&gt;=$I43,V$16&lt;=$K43),"",0)</f>
        <v/>
      </c>
      <c r="W43" s="114" t="str">
        <f t="shared" ref="W43:W46" si="162">+IF(AND(W$16&gt;=$I43,W$16&lt;=$K43),"",0)</f>
        <v/>
      </c>
      <c r="X43" s="117" t="str">
        <f t="shared" ref="X43:X46" si="163">+IF(AND(X$16&gt;=$I43,X$16&lt;=$K43),"",0)</f>
        <v/>
      </c>
      <c r="Y43" s="117" t="str">
        <f t="shared" ref="Y43:Y46" si="164">+IF(AND(Y$16&gt;=$I43,Y$16&lt;=$K43),"",0)</f>
        <v/>
      </c>
      <c r="Z43" s="117" t="str">
        <f t="shared" ref="Z43:Z46" si="165">+IF(AND(Z$16&gt;=$I43,Z$16&lt;=$K43),"",0)</f>
        <v/>
      </c>
      <c r="AA43" s="117" t="str">
        <f t="shared" ref="AA43:AA46" si="166">+IF(AND(AA$16&gt;=$I43,AA$16&lt;=$K43),"",0)</f>
        <v/>
      </c>
      <c r="AB43" s="117" t="str">
        <f t="shared" ref="AB43:AB46" si="167">+IF(AND(AB$16&gt;=$I43,AB$16&lt;=$K43),"",0)</f>
        <v/>
      </c>
      <c r="AC43" s="118" t="str">
        <f t="shared" ref="AC43:AC46" si="168">+IF(AND(AC$16&gt;=$I43,AC$16&lt;=$K43),"",0)</f>
        <v/>
      </c>
      <c r="AD43" s="114" t="str">
        <f t="shared" ref="AD43:AD46" si="169">+IF(AND(AD$16&gt;=$I43,AD$16&lt;=$K43),"",0)</f>
        <v/>
      </c>
      <c r="AE43" s="117" t="str">
        <f t="shared" ref="AE43:AE46" si="170">+IF(AND(AE$16&gt;=$I43,AE$16&lt;=$K43),"",0)</f>
        <v/>
      </c>
      <c r="AF43" s="117" t="str">
        <f t="shared" ref="AF43:AF46" si="171">+IF(AND(AF$16&gt;=$I43,AF$16&lt;=$K43),"",0)</f>
        <v/>
      </c>
      <c r="AG43" s="117" t="str">
        <f t="shared" ref="AG43:AG46" si="172">+IF(AND(AG$16&gt;=$I43,AG$16&lt;=$K43),"",0)</f>
        <v/>
      </c>
      <c r="AH43" s="117" t="str">
        <f t="shared" ref="AH43:AH46" si="173">+IF(AND(AH$16&gt;=$I43,AH$16&lt;=$K43),"",0)</f>
        <v/>
      </c>
      <c r="AI43" s="117" t="str">
        <f t="shared" ref="AI43:AI46" si="174">+IF(AND(AI$16&gt;=$I43,AI$16&lt;=$K43),"",0)</f>
        <v/>
      </c>
      <c r="AJ43" s="118" t="str">
        <f t="shared" ref="AJ43:AJ46" si="175">+IF(AND(AJ$16&gt;=$I43,AJ$16&lt;=$K43),"",0)</f>
        <v/>
      </c>
      <c r="AK43" s="114" t="str">
        <f t="shared" ref="AK43:AK46" si="176">+IF(AND(AK$16&gt;=$I43,AK$16&lt;=$K43),"",0)</f>
        <v/>
      </c>
      <c r="AL43" s="117">
        <f t="shared" ref="AL43:AL46" si="177">+IF(AND(AL$16&gt;=$I43,AL$16&lt;=$K43),"",0)</f>
        <v>0</v>
      </c>
      <c r="AM43" s="117">
        <f t="shared" ref="AM43:AM46" si="178">+IF(AND(AM$16&gt;=$I43,AM$16&lt;=$K43),"",0)</f>
        <v>0</v>
      </c>
      <c r="AN43" s="117">
        <f t="shared" ref="AN43:AN46" si="179">+IF(AND(AN$16&gt;=$I43,AN$16&lt;=$K43),"",0)</f>
        <v>0</v>
      </c>
      <c r="AO43" s="117">
        <f t="shared" ref="AO43:AO46" si="180">+IF(AND(AO$16&gt;=$I43,AO$16&lt;=$K43),"",0)</f>
        <v>0</v>
      </c>
      <c r="AP43" s="117">
        <f t="shared" ref="AP43:AP46" si="181">+IF(AND(AP$16&gt;=$I43,AP$16&lt;=$K43),"",0)</f>
        <v>0</v>
      </c>
      <c r="AQ43" s="118">
        <f t="shared" ref="AQ43:AQ46" si="182">+IF(AND(AQ$16&gt;=$I43,AQ$16&lt;=$K43),"",0)</f>
        <v>0</v>
      </c>
      <c r="AR43" s="115">
        <f t="shared" ref="AR43:AR46" si="183">+IF(AND(AR$16&gt;=$I43,AR$16&lt;=$K43),"",0)</f>
        <v>0</v>
      </c>
      <c r="AS43" s="115">
        <f t="shared" ref="AS43:AS46" si="184">+IF(AND(AS$16&gt;=$I43,AS$16&lt;=$K43),"",0)</f>
        <v>0</v>
      </c>
      <c r="AT43" s="115">
        <f t="shared" ref="AT43:AT46" si="185">+IF(AND(AT$16&gt;=$I43,AT$16&lt;=$K43),"",0)</f>
        <v>0</v>
      </c>
      <c r="AU43" s="115">
        <f t="shared" ref="AU43:AU46" si="186">+IF(AND(AU$16&gt;=$I43,AU$16&lt;=$K43),"",0)</f>
        <v>0</v>
      </c>
      <c r="AV43" s="115">
        <f t="shared" ref="AV43:AV46" si="187">+IF(AND(AV$16&gt;=$I43,AV$16&lt;=$K43),"",0)</f>
        <v>0</v>
      </c>
      <c r="AW43" s="115">
        <f t="shared" ref="AW43:AW46" si="188">+IF(AND(AW$16&gt;=$I43,AW$16&lt;=$K43),"",0)</f>
        <v>0</v>
      </c>
      <c r="AX43" s="115">
        <f t="shared" ref="AX43:AX46" si="189">+IF(AND(AX$16&gt;=$I43,AX$16&lt;=$K43),"",0)</f>
        <v>0</v>
      </c>
      <c r="AY43" s="40"/>
    </row>
    <row r="44" spans="1:51" s="26" customFormat="1" ht="31.5" customHeight="1" outlineLevel="1" x14ac:dyDescent="0.3">
      <c r="A44" s="13"/>
      <c r="B44" s="13"/>
      <c r="C44" s="13"/>
      <c r="D44" s="69">
        <v>2</v>
      </c>
      <c r="E44" s="70" t="s">
        <v>124</v>
      </c>
      <c r="F44" s="49">
        <v>0</v>
      </c>
      <c r="G44" s="95" t="str">
        <f t="shared" si="5"/>
        <v>YES</v>
      </c>
      <c r="H44" s="97">
        <v>43699</v>
      </c>
      <c r="I44" s="97">
        <v>43699</v>
      </c>
      <c r="J44" s="96">
        <f t="shared" si="13"/>
        <v>43701</v>
      </c>
      <c r="K44" s="35">
        <f t="shared" si="14"/>
        <v>43701</v>
      </c>
      <c r="L44" s="102">
        <v>3</v>
      </c>
      <c r="M44" s="36">
        <v>3</v>
      </c>
      <c r="N44" s="105">
        <v>3</v>
      </c>
      <c r="O44" s="37">
        <v>3</v>
      </c>
      <c r="P44" s="114">
        <f t="shared" si="155"/>
        <v>0</v>
      </c>
      <c r="Q44" s="115">
        <f t="shared" si="156"/>
        <v>0</v>
      </c>
      <c r="R44" s="115">
        <f t="shared" si="157"/>
        <v>0</v>
      </c>
      <c r="S44" s="115">
        <f t="shared" si="158"/>
        <v>0</v>
      </c>
      <c r="T44" s="115">
        <f t="shared" si="159"/>
        <v>0</v>
      </c>
      <c r="U44" s="115">
        <f t="shared" si="160"/>
        <v>0</v>
      </c>
      <c r="V44" s="116">
        <f t="shared" si="161"/>
        <v>0</v>
      </c>
      <c r="W44" s="114">
        <f t="shared" si="162"/>
        <v>0</v>
      </c>
      <c r="X44" s="117">
        <f t="shared" si="163"/>
        <v>0</v>
      </c>
      <c r="Y44" s="117">
        <f t="shared" si="164"/>
        <v>0</v>
      </c>
      <c r="Z44" s="117">
        <f t="shared" si="165"/>
        <v>0</v>
      </c>
      <c r="AA44" s="117">
        <f t="shared" si="166"/>
        <v>0</v>
      </c>
      <c r="AB44" s="117">
        <f t="shared" si="167"/>
        <v>0</v>
      </c>
      <c r="AC44" s="118">
        <f t="shared" si="168"/>
        <v>0</v>
      </c>
      <c r="AD44" s="114">
        <f t="shared" si="169"/>
        <v>0</v>
      </c>
      <c r="AE44" s="117">
        <f t="shared" si="170"/>
        <v>0</v>
      </c>
      <c r="AF44" s="117">
        <f t="shared" si="171"/>
        <v>0</v>
      </c>
      <c r="AG44" s="117">
        <f t="shared" si="172"/>
        <v>0</v>
      </c>
      <c r="AH44" s="117">
        <f t="shared" si="173"/>
        <v>0</v>
      </c>
      <c r="AI44" s="117">
        <f t="shared" si="174"/>
        <v>0</v>
      </c>
      <c r="AJ44" s="118">
        <f t="shared" si="175"/>
        <v>0</v>
      </c>
      <c r="AK44" s="114" t="str">
        <f t="shared" si="176"/>
        <v/>
      </c>
      <c r="AL44" s="117" t="str">
        <f t="shared" si="177"/>
        <v/>
      </c>
      <c r="AM44" s="117" t="str">
        <f t="shared" si="178"/>
        <v/>
      </c>
      <c r="AN44" s="117">
        <f t="shared" si="179"/>
        <v>0</v>
      </c>
      <c r="AO44" s="117">
        <f t="shared" si="180"/>
        <v>0</v>
      </c>
      <c r="AP44" s="117">
        <f t="shared" si="181"/>
        <v>0</v>
      </c>
      <c r="AQ44" s="118">
        <f t="shared" si="182"/>
        <v>0</v>
      </c>
      <c r="AR44" s="115">
        <f t="shared" si="183"/>
        <v>0</v>
      </c>
      <c r="AS44" s="115">
        <f t="shared" si="184"/>
        <v>0</v>
      </c>
      <c r="AT44" s="115">
        <f t="shared" si="185"/>
        <v>0</v>
      </c>
      <c r="AU44" s="115">
        <f t="shared" si="186"/>
        <v>0</v>
      </c>
      <c r="AV44" s="115">
        <f t="shared" si="187"/>
        <v>0</v>
      </c>
      <c r="AW44" s="115">
        <f t="shared" si="188"/>
        <v>0</v>
      </c>
      <c r="AX44" s="115">
        <f t="shared" si="189"/>
        <v>0</v>
      </c>
      <c r="AY44" s="40"/>
    </row>
    <row r="45" spans="1:51" s="26" customFormat="1" ht="31.5" customHeight="1" outlineLevel="1" x14ac:dyDescent="0.3">
      <c r="A45" s="13"/>
      <c r="B45" s="13"/>
      <c r="C45" s="13"/>
      <c r="D45" s="69">
        <v>3</v>
      </c>
      <c r="E45" s="70" t="s">
        <v>57</v>
      </c>
      <c r="F45" s="49">
        <v>0</v>
      </c>
      <c r="G45" s="95" t="str">
        <f t="shared" si="5"/>
        <v>YES</v>
      </c>
      <c r="H45" s="97">
        <v>43701</v>
      </c>
      <c r="I45" s="97">
        <v>43701</v>
      </c>
      <c r="J45" s="96">
        <f t="shared" si="13"/>
        <v>43715</v>
      </c>
      <c r="K45" s="35">
        <f t="shared" si="14"/>
        <v>43715</v>
      </c>
      <c r="L45" s="102">
        <v>15</v>
      </c>
      <c r="M45" s="36">
        <v>15</v>
      </c>
      <c r="N45" s="105">
        <v>8</v>
      </c>
      <c r="O45" s="37">
        <v>8</v>
      </c>
      <c r="P45" s="114">
        <f t="shared" si="155"/>
        <v>0</v>
      </c>
      <c r="Q45" s="115">
        <f t="shared" si="156"/>
        <v>0</v>
      </c>
      <c r="R45" s="115">
        <f t="shared" si="157"/>
        <v>0</v>
      </c>
      <c r="S45" s="115">
        <f t="shared" si="158"/>
        <v>0</v>
      </c>
      <c r="T45" s="115">
        <f t="shared" si="159"/>
        <v>0</v>
      </c>
      <c r="U45" s="115">
        <f t="shared" si="160"/>
        <v>0</v>
      </c>
      <c r="V45" s="116">
        <f t="shared" si="161"/>
        <v>0</v>
      </c>
      <c r="W45" s="114">
        <f t="shared" si="162"/>
        <v>0</v>
      </c>
      <c r="X45" s="117">
        <f t="shared" si="163"/>
        <v>0</v>
      </c>
      <c r="Y45" s="117">
        <f t="shared" si="164"/>
        <v>0</v>
      </c>
      <c r="Z45" s="117">
        <f t="shared" si="165"/>
        <v>0</v>
      </c>
      <c r="AA45" s="117">
        <f t="shared" si="166"/>
        <v>0</v>
      </c>
      <c r="AB45" s="117">
        <f t="shared" si="167"/>
        <v>0</v>
      </c>
      <c r="AC45" s="118">
        <f t="shared" si="168"/>
        <v>0</v>
      </c>
      <c r="AD45" s="114">
        <f t="shared" si="169"/>
        <v>0</v>
      </c>
      <c r="AE45" s="117">
        <f t="shared" si="170"/>
        <v>0</v>
      </c>
      <c r="AF45" s="117">
        <f t="shared" si="171"/>
        <v>0</v>
      </c>
      <c r="AG45" s="117">
        <f t="shared" si="172"/>
        <v>0</v>
      </c>
      <c r="AH45" s="117">
        <f t="shared" si="173"/>
        <v>0</v>
      </c>
      <c r="AI45" s="117">
        <f t="shared" si="174"/>
        <v>0</v>
      </c>
      <c r="AJ45" s="118">
        <f t="shared" si="175"/>
        <v>0</v>
      </c>
      <c r="AK45" s="114">
        <f t="shared" si="176"/>
        <v>0</v>
      </c>
      <c r="AL45" s="117">
        <f t="shared" si="177"/>
        <v>0</v>
      </c>
      <c r="AM45" s="117" t="str">
        <f t="shared" si="178"/>
        <v/>
      </c>
      <c r="AN45" s="117" t="str">
        <f t="shared" si="179"/>
        <v/>
      </c>
      <c r="AO45" s="117" t="str">
        <f t="shared" si="180"/>
        <v/>
      </c>
      <c r="AP45" s="117" t="str">
        <f t="shared" si="181"/>
        <v/>
      </c>
      <c r="AQ45" s="118" t="str">
        <f t="shared" si="182"/>
        <v/>
      </c>
      <c r="AR45" s="115" t="str">
        <f t="shared" si="183"/>
        <v/>
      </c>
      <c r="AS45" s="115" t="str">
        <f t="shared" si="184"/>
        <v/>
      </c>
      <c r="AT45" s="115" t="str">
        <f t="shared" si="185"/>
        <v/>
      </c>
      <c r="AU45" s="115" t="str">
        <f t="shared" si="186"/>
        <v/>
      </c>
      <c r="AV45" s="115" t="str">
        <f t="shared" si="187"/>
        <v/>
      </c>
      <c r="AW45" s="115" t="str">
        <f t="shared" si="188"/>
        <v/>
      </c>
      <c r="AX45" s="115" t="str">
        <f t="shared" si="189"/>
        <v/>
      </c>
      <c r="AY45" s="40"/>
    </row>
    <row r="46" spans="1:51" s="26" customFormat="1" ht="31.5" customHeight="1" outlineLevel="1" x14ac:dyDescent="0.3">
      <c r="A46" s="13"/>
      <c r="B46" s="13"/>
      <c r="C46" s="13"/>
      <c r="D46" s="69">
        <v>4</v>
      </c>
      <c r="E46" s="70" t="s">
        <v>58</v>
      </c>
      <c r="F46" s="49">
        <v>0</v>
      </c>
      <c r="G46" s="95" t="str">
        <f t="shared" si="5"/>
        <v>YES</v>
      </c>
      <c r="H46" s="97">
        <v>43716</v>
      </c>
      <c r="I46" s="97">
        <v>43716</v>
      </c>
      <c r="J46" s="96">
        <f t="shared" si="13"/>
        <v>43716</v>
      </c>
      <c r="K46" s="35">
        <f t="shared" si="14"/>
        <v>43716</v>
      </c>
      <c r="L46" s="102">
        <v>1</v>
      </c>
      <c r="M46" s="36">
        <v>1</v>
      </c>
      <c r="N46" s="105">
        <v>2</v>
      </c>
      <c r="O46" s="37">
        <v>2</v>
      </c>
      <c r="P46" s="114">
        <f t="shared" si="155"/>
        <v>0</v>
      </c>
      <c r="Q46" s="115">
        <f t="shared" si="156"/>
        <v>0</v>
      </c>
      <c r="R46" s="115">
        <f t="shared" si="157"/>
        <v>0</v>
      </c>
      <c r="S46" s="115">
        <f t="shared" si="158"/>
        <v>0</v>
      </c>
      <c r="T46" s="115">
        <f t="shared" si="159"/>
        <v>0</v>
      </c>
      <c r="U46" s="115">
        <f t="shared" si="160"/>
        <v>0</v>
      </c>
      <c r="V46" s="116">
        <f t="shared" si="161"/>
        <v>0</v>
      </c>
      <c r="W46" s="114">
        <f t="shared" si="162"/>
        <v>0</v>
      </c>
      <c r="X46" s="117">
        <f t="shared" si="163"/>
        <v>0</v>
      </c>
      <c r="Y46" s="117">
        <f t="shared" si="164"/>
        <v>0</v>
      </c>
      <c r="Z46" s="117">
        <f t="shared" si="165"/>
        <v>0</v>
      </c>
      <c r="AA46" s="117">
        <f t="shared" si="166"/>
        <v>0</v>
      </c>
      <c r="AB46" s="117">
        <f t="shared" si="167"/>
        <v>0</v>
      </c>
      <c r="AC46" s="118">
        <f t="shared" si="168"/>
        <v>0</v>
      </c>
      <c r="AD46" s="114">
        <f t="shared" si="169"/>
        <v>0</v>
      </c>
      <c r="AE46" s="117">
        <f t="shared" si="170"/>
        <v>0</v>
      </c>
      <c r="AF46" s="117">
        <f t="shared" si="171"/>
        <v>0</v>
      </c>
      <c r="AG46" s="117">
        <f t="shared" si="172"/>
        <v>0</v>
      </c>
      <c r="AH46" s="117">
        <f t="shared" si="173"/>
        <v>0</v>
      </c>
      <c r="AI46" s="117">
        <f t="shared" si="174"/>
        <v>0</v>
      </c>
      <c r="AJ46" s="118">
        <f t="shared" si="175"/>
        <v>0</v>
      </c>
      <c r="AK46" s="114">
        <f t="shared" si="176"/>
        <v>0</v>
      </c>
      <c r="AL46" s="117">
        <f t="shared" si="177"/>
        <v>0</v>
      </c>
      <c r="AM46" s="117">
        <f t="shared" si="178"/>
        <v>0</v>
      </c>
      <c r="AN46" s="117">
        <f t="shared" si="179"/>
        <v>0</v>
      </c>
      <c r="AO46" s="117">
        <f t="shared" si="180"/>
        <v>0</v>
      </c>
      <c r="AP46" s="117">
        <f t="shared" si="181"/>
        <v>0</v>
      </c>
      <c r="AQ46" s="118">
        <f t="shared" si="182"/>
        <v>0</v>
      </c>
      <c r="AR46" s="115">
        <f t="shared" si="183"/>
        <v>0</v>
      </c>
      <c r="AS46" s="115">
        <f t="shared" si="184"/>
        <v>0</v>
      </c>
      <c r="AT46" s="115">
        <f t="shared" si="185"/>
        <v>0</v>
      </c>
      <c r="AU46" s="115">
        <f t="shared" si="186"/>
        <v>0</v>
      </c>
      <c r="AV46" s="115">
        <f t="shared" si="187"/>
        <v>0</v>
      </c>
      <c r="AW46" s="115">
        <f t="shared" si="188"/>
        <v>0</v>
      </c>
      <c r="AX46" s="115">
        <f t="shared" si="189"/>
        <v>0</v>
      </c>
      <c r="AY46" s="40"/>
    </row>
    <row r="47" spans="1:51" s="213" customFormat="1" ht="24.9" customHeight="1" x14ac:dyDescent="0.3">
      <c r="A47" s="201"/>
      <c r="B47" s="201"/>
      <c r="C47" s="201"/>
      <c r="D47" s="63">
        <v>2</v>
      </c>
      <c r="E47" s="64" t="s">
        <v>59</v>
      </c>
      <c r="F47" s="202"/>
      <c r="G47" s="203"/>
      <c r="H47" s="92">
        <f>+MIN(H48:H141)</f>
        <v>43606</v>
      </c>
      <c r="I47" s="86">
        <f>+MIN(I48:I141)</f>
        <v>43606</v>
      </c>
      <c r="J47" s="92">
        <f>+MAX(J48:J141)</f>
        <v>43728</v>
      </c>
      <c r="K47" s="86">
        <f>+MAX(K48:K141)</f>
        <v>43728</v>
      </c>
      <c r="L47" s="204"/>
      <c r="M47" s="205"/>
      <c r="N47" s="206"/>
      <c r="O47" s="207"/>
      <c r="P47" s="208" t="str">
        <f t="shared" si="1"/>
        <v/>
      </c>
      <c r="Q47" s="209" t="str">
        <f t="shared" si="8"/>
        <v/>
      </c>
      <c r="R47" s="209" t="str">
        <f t="shared" si="8"/>
        <v/>
      </c>
      <c r="S47" s="209" t="str">
        <f t="shared" si="8"/>
        <v/>
      </c>
      <c r="T47" s="209" t="str">
        <f t="shared" si="8"/>
        <v/>
      </c>
      <c r="U47" s="209" t="str">
        <f t="shared" si="8"/>
        <v/>
      </c>
      <c r="V47" s="210" t="str">
        <f t="shared" si="8"/>
        <v/>
      </c>
      <c r="W47" s="208" t="str">
        <f t="shared" si="8"/>
        <v/>
      </c>
      <c r="X47" s="211" t="str">
        <f t="shared" si="8"/>
        <v/>
      </c>
      <c r="Y47" s="211" t="str">
        <f t="shared" si="8"/>
        <v/>
      </c>
      <c r="Z47" s="211" t="str">
        <f t="shared" si="8"/>
        <v/>
      </c>
      <c r="AA47" s="211" t="str">
        <f t="shared" si="9"/>
        <v/>
      </c>
      <c r="AB47" s="211" t="str">
        <f t="shared" si="9"/>
        <v/>
      </c>
      <c r="AC47" s="212" t="str">
        <f t="shared" si="9"/>
        <v/>
      </c>
      <c r="AD47" s="208" t="str">
        <f t="shared" si="9"/>
        <v/>
      </c>
      <c r="AE47" s="211" t="str">
        <f t="shared" si="9"/>
        <v/>
      </c>
      <c r="AF47" s="211" t="str">
        <f t="shared" si="9"/>
        <v/>
      </c>
      <c r="AG47" s="211" t="str">
        <f t="shared" si="9"/>
        <v/>
      </c>
      <c r="AH47" s="211" t="str">
        <f t="shared" si="9"/>
        <v/>
      </c>
      <c r="AI47" s="211" t="str">
        <f t="shared" si="9"/>
        <v/>
      </c>
      <c r="AJ47" s="212" t="str">
        <f t="shared" si="9"/>
        <v/>
      </c>
      <c r="AK47" s="208" t="str">
        <f t="shared" si="10"/>
        <v/>
      </c>
      <c r="AL47" s="211" t="str">
        <f t="shared" si="10"/>
        <v/>
      </c>
      <c r="AM47" s="211" t="str">
        <f t="shared" si="10"/>
        <v/>
      </c>
      <c r="AN47" s="211" t="str">
        <f t="shared" si="10"/>
        <v/>
      </c>
      <c r="AO47" s="211" t="str">
        <f t="shared" si="10"/>
        <v/>
      </c>
      <c r="AP47" s="211" t="str">
        <f t="shared" si="10"/>
        <v/>
      </c>
      <c r="AQ47" s="212" t="str">
        <f t="shared" si="10"/>
        <v/>
      </c>
      <c r="AR47" s="209" t="str">
        <f t="shared" si="10"/>
        <v/>
      </c>
      <c r="AS47" s="209" t="str">
        <f t="shared" si="10"/>
        <v/>
      </c>
      <c r="AT47" s="209" t="str">
        <f t="shared" si="10"/>
        <v/>
      </c>
      <c r="AU47" s="209" t="str">
        <f t="shared" si="10"/>
        <v/>
      </c>
      <c r="AV47" s="209" t="str">
        <f t="shared" si="10"/>
        <v/>
      </c>
      <c r="AW47" s="209" t="str">
        <f t="shared" si="10"/>
        <v/>
      </c>
      <c r="AX47" s="209" t="str">
        <f t="shared" si="10"/>
        <v/>
      </c>
      <c r="AY47" s="130"/>
    </row>
    <row r="48" spans="1:51" s="200" customFormat="1" ht="27.6" customHeight="1" outlineLevel="1" x14ac:dyDescent="0.3">
      <c r="A48" s="191"/>
      <c r="B48" s="191"/>
      <c r="C48" s="191"/>
      <c r="D48" s="170" t="s">
        <v>8</v>
      </c>
      <c r="E48" s="171" t="s">
        <v>100</v>
      </c>
      <c r="F48" s="192"/>
      <c r="G48" s="193"/>
      <c r="H48" s="174"/>
      <c r="I48" s="174"/>
      <c r="J48" s="174"/>
      <c r="K48" s="175"/>
      <c r="L48" s="194"/>
      <c r="M48" s="194"/>
      <c r="N48" s="194"/>
      <c r="O48" s="194"/>
      <c r="P48" s="195">
        <f t="shared" si="1"/>
        <v>0</v>
      </c>
      <c r="Q48" s="196">
        <f t="shared" si="8"/>
        <v>0</v>
      </c>
      <c r="R48" s="196">
        <f t="shared" si="8"/>
        <v>0</v>
      </c>
      <c r="S48" s="196">
        <f t="shared" si="8"/>
        <v>0</v>
      </c>
      <c r="T48" s="196">
        <f t="shared" si="8"/>
        <v>0</v>
      </c>
      <c r="U48" s="196">
        <f t="shared" si="8"/>
        <v>0</v>
      </c>
      <c r="V48" s="197">
        <f t="shared" si="8"/>
        <v>0</v>
      </c>
      <c r="W48" s="195">
        <f t="shared" si="8"/>
        <v>0</v>
      </c>
      <c r="X48" s="198">
        <f t="shared" si="8"/>
        <v>0</v>
      </c>
      <c r="Y48" s="198">
        <f t="shared" si="8"/>
        <v>0</v>
      </c>
      <c r="Z48" s="198">
        <f t="shared" si="8"/>
        <v>0</v>
      </c>
      <c r="AA48" s="198">
        <f t="shared" si="9"/>
        <v>0</v>
      </c>
      <c r="AB48" s="198">
        <f t="shared" si="9"/>
        <v>0</v>
      </c>
      <c r="AC48" s="199">
        <f t="shared" si="9"/>
        <v>0</v>
      </c>
      <c r="AD48" s="195">
        <f t="shared" si="9"/>
        <v>0</v>
      </c>
      <c r="AE48" s="198">
        <f t="shared" si="9"/>
        <v>0</v>
      </c>
      <c r="AF48" s="198">
        <f t="shared" si="9"/>
        <v>0</v>
      </c>
      <c r="AG48" s="198">
        <f t="shared" si="9"/>
        <v>0</v>
      </c>
      <c r="AH48" s="198">
        <f t="shared" si="9"/>
        <v>0</v>
      </c>
      <c r="AI48" s="198">
        <f t="shared" si="9"/>
        <v>0</v>
      </c>
      <c r="AJ48" s="199">
        <f t="shared" si="9"/>
        <v>0</v>
      </c>
      <c r="AK48" s="195">
        <f t="shared" si="10"/>
        <v>0</v>
      </c>
      <c r="AL48" s="198">
        <f t="shared" si="10"/>
        <v>0</v>
      </c>
      <c r="AM48" s="198">
        <f t="shared" si="10"/>
        <v>0</v>
      </c>
      <c r="AN48" s="198">
        <f t="shared" si="10"/>
        <v>0</v>
      </c>
      <c r="AO48" s="198">
        <f t="shared" si="10"/>
        <v>0</v>
      </c>
      <c r="AP48" s="198">
        <f t="shared" si="10"/>
        <v>0</v>
      </c>
      <c r="AQ48" s="199">
        <f t="shared" si="10"/>
        <v>0</v>
      </c>
      <c r="AR48" s="196">
        <f t="shared" si="10"/>
        <v>0</v>
      </c>
      <c r="AS48" s="196">
        <f t="shared" si="10"/>
        <v>0</v>
      </c>
      <c r="AT48" s="196">
        <f t="shared" si="10"/>
        <v>0</v>
      </c>
      <c r="AU48" s="196">
        <f t="shared" si="10"/>
        <v>0</v>
      </c>
      <c r="AV48" s="196">
        <f t="shared" si="10"/>
        <v>0</v>
      </c>
      <c r="AW48" s="196">
        <f t="shared" si="10"/>
        <v>0</v>
      </c>
      <c r="AX48" s="196">
        <f t="shared" si="10"/>
        <v>0</v>
      </c>
      <c r="AY48" s="187" t="s">
        <v>0</v>
      </c>
    </row>
    <row r="49" spans="1:51" s="26" customFormat="1" ht="27.6" customHeight="1" outlineLevel="1" x14ac:dyDescent="0.3">
      <c r="A49" s="13"/>
      <c r="B49" s="13"/>
      <c r="C49" s="13"/>
      <c r="D49" s="69">
        <v>1</v>
      </c>
      <c r="E49" s="70" t="s">
        <v>79</v>
      </c>
      <c r="F49" s="49">
        <v>0</v>
      </c>
      <c r="G49" s="95" t="str">
        <f t="shared" ref="G49:G139" si="190">+IF(AND($H49&gt;=$I49,$J49&gt;=$K49),"YES","NO")</f>
        <v>YES</v>
      </c>
      <c r="H49" s="96">
        <v>43689</v>
      </c>
      <c r="I49" s="96">
        <v>43689</v>
      </c>
      <c r="J49" s="96">
        <f t="shared" ref="J49:J136" si="191">+H49+L49-1</f>
        <v>43689</v>
      </c>
      <c r="K49" s="35">
        <f t="shared" ref="K49:K136" si="192">+I49+M49-1</f>
        <v>43689</v>
      </c>
      <c r="L49" s="103">
        <v>1</v>
      </c>
      <c r="M49" s="103">
        <v>1</v>
      </c>
      <c r="N49" s="103">
        <v>2</v>
      </c>
      <c r="O49" s="103">
        <v>2</v>
      </c>
      <c r="P49" s="114">
        <f t="shared" si="1"/>
        <v>0</v>
      </c>
      <c r="Q49" s="115">
        <f t="shared" si="8"/>
        <v>0</v>
      </c>
      <c r="R49" s="115">
        <f t="shared" si="8"/>
        <v>0</v>
      </c>
      <c r="S49" s="115">
        <f t="shared" si="8"/>
        <v>0</v>
      </c>
      <c r="T49" s="115">
        <f t="shared" si="8"/>
        <v>0</v>
      </c>
      <c r="U49" s="115">
        <f t="shared" si="8"/>
        <v>0</v>
      </c>
      <c r="V49" s="116">
        <f t="shared" si="8"/>
        <v>0</v>
      </c>
      <c r="W49" s="114">
        <f t="shared" si="8"/>
        <v>0</v>
      </c>
      <c r="X49" s="117">
        <f t="shared" si="8"/>
        <v>0</v>
      </c>
      <c r="Y49" s="117">
        <f t="shared" si="8"/>
        <v>0</v>
      </c>
      <c r="Z49" s="117">
        <f t="shared" si="8"/>
        <v>0</v>
      </c>
      <c r="AA49" s="117" t="str">
        <f t="shared" si="9"/>
        <v/>
      </c>
      <c r="AB49" s="117">
        <f t="shared" si="9"/>
        <v>0</v>
      </c>
      <c r="AC49" s="118">
        <f t="shared" si="9"/>
        <v>0</v>
      </c>
      <c r="AD49" s="114">
        <f t="shared" si="9"/>
        <v>0</v>
      </c>
      <c r="AE49" s="117">
        <f t="shared" si="9"/>
        <v>0</v>
      </c>
      <c r="AF49" s="117">
        <f t="shared" si="9"/>
        <v>0</v>
      </c>
      <c r="AG49" s="117">
        <f t="shared" si="9"/>
        <v>0</v>
      </c>
      <c r="AH49" s="117">
        <f t="shared" si="9"/>
        <v>0</v>
      </c>
      <c r="AI49" s="117">
        <f t="shared" si="9"/>
        <v>0</v>
      </c>
      <c r="AJ49" s="118">
        <f t="shared" si="9"/>
        <v>0</v>
      </c>
      <c r="AK49" s="114">
        <f t="shared" si="10"/>
        <v>0</v>
      </c>
      <c r="AL49" s="117">
        <f t="shared" si="10"/>
        <v>0</v>
      </c>
      <c r="AM49" s="117">
        <f t="shared" si="10"/>
        <v>0</v>
      </c>
      <c r="AN49" s="117">
        <f t="shared" si="10"/>
        <v>0</v>
      </c>
      <c r="AO49" s="117">
        <f t="shared" si="10"/>
        <v>0</v>
      </c>
      <c r="AP49" s="117">
        <f t="shared" si="10"/>
        <v>0</v>
      </c>
      <c r="AQ49" s="118">
        <f t="shared" si="10"/>
        <v>0</v>
      </c>
      <c r="AR49" s="115">
        <f t="shared" si="10"/>
        <v>0</v>
      </c>
      <c r="AS49" s="115">
        <f t="shared" si="10"/>
        <v>0</v>
      </c>
      <c r="AT49" s="115">
        <f t="shared" si="10"/>
        <v>0</v>
      </c>
      <c r="AU49" s="115">
        <f t="shared" si="10"/>
        <v>0</v>
      </c>
      <c r="AV49" s="115">
        <f t="shared" si="10"/>
        <v>0</v>
      </c>
      <c r="AW49" s="115">
        <f t="shared" si="10"/>
        <v>0</v>
      </c>
      <c r="AX49" s="115">
        <f t="shared" si="10"/>
        <v>0</v>
      </c>
      <c r="AY49" s="40"/>
    </row>
    <row r="50" spans="1:51" s="26" customFormat="1" ht="27.6" customHeight="1" outlineLevel="1" x14ac:dyDescent="0.3">
      <c r="A50" s="13"/>
      <c r="B50" s="13"/>
      <c r="C50" s="13"/>
      <c r="D50" s="69">
        <f>+D49+1</f>
        <v>2</v>
      </c>
      <c r="E50" s="70" t="s">
        <v>89</v>
      </c>
      <c r="F50" s="49">
        <v>0</v>
      </c>
      <c r="G50" s="95" t="str">
        <f t="shared" si="190"/>
        <v>YES</v>
      </c>
      <c r="H50" s="96">
        <v>43691</v>
      </c>
      <c r="I50" s="96">
        <v>43691</v>
      </c>
      <c r="J50" s="96">
        <f t="shared" ref="J50:J113" si="193">+H50+L50-1</f>
        <v>43693</v>
      </c>
      <c r="K50" s="35">
        <f t="shared" ref="K50:K113" si="194">+I50+M50-1</f>
        <v>43693</v>
      </c>
      <c r="L50" s="103">
        <v>3</v>
      </c>
      <c r="M50" s="103">
        <v>3</v>
      </c>
      <c r="N50" s="103">
        <v>8</v>
      </c>
      <c r="O50" s="103">
        <v>8</v>
      </c>
      <c r="P50" s="114">
        <f t="shared" ref="P50:P55" si="195">+IF(AND(P$16&gt;=$I50,P$16&lt;=$K50),"",0)</f>
        <v>0</v>
      </c>
      <c r="Q50" s="115">
        <f t="shared" ref="Q50:Q55" si="196">+IF(AND(Q$16&gt;=$I50,Q$16&lt;=$K50),"",0)</f>
        <v>0</v>
      </c>
      <c r="R50" s="115">
        <f t="shared" ref="R50:R55" si="197">+IF(AND(R$16&gt;=$I50,R$16&lt;=$K50),"",0)</f>
        <v>0</v>
      </c>
      <c r="S50" s="115">
        <f t="shared" ref="S50:S55" si="198">+IF(AND(S$16&gt;=$I50,S$16&lt;=$K50),"",0)</f>
        <v>0</v>
      </c>
      <c r="T50" s="115">
        <f t="shared" ref="T50:T55" si="199">+IF(AND(T$16&gt;=$I50,T$16&lt;=$K50),"",0)</f>
        <v>0</v>
      </c>
      <c r="U50" s="115">
        <f t="shared" ref="U50:U55" si="200">+IF(AND(U$16&gt;=$I50,U$16&lt;=$K50),"",0)</f>
        <v>0</v>
      </c>
      <c r="V50" s="116">
        <f t="shared" ref="V50:V55" si="201">+IF(AND(V$16&gt;=$I50,V$16&lt;=$K50),"",0)</f>
        <v>0</v>
      </c>
      <c r="W50" s="114">
        <f t="shared" ref="W50:W55" si="202">+IF(AND(W$16&gt;=$I50,W$16&lt;=$K50),"",0)</f>
        <v>0</v>
      </c>
      <c r="X50" s="117">
        <f t="shared" ref="X50:X55" si="203">+IF(AND(X$16&gt;=$I50,X$16&lt;=$K50),"",0)</f>
        <v>0</v>
      </c>
      <c r="Y50" s="117">
        <f t="shared" ref="Y50:Y55" si="204">+IF(AND(Y$16&gt;=$I50,Y$16&lt;=$K50),"",0)</f>
        <v>0</v>
      </c>
      <c r="Z50" s="117">
        <f t="shared" ref="Z50:Z55" si="205">+IF(AND(Z$16&gt;=$I50,Z$16&lt;=$K50),"",0)</f>
        <v>0</v>
      </c>
      <c r="AA50" s="117">
        <f t="shared" ref="AA50:AA55" si="206">+IF(AND(AA$16&gt;=$I50,AA$16&lt;=$K50),"",0)</f>
        <v>0</v>
      </c>
      <c r="AB50" s="117">
        <f t="shared" ref="AB50:AB55" si="207">+IF(AND(AB$16&gt;=$I50,AB$16&lt;=$K50),"",0)</f>
        <v>0</v>
      </c>
      <c r="AC50" s="118" t="str">
        <f t="shared" ref="AC50:AC55" si="208">+IF(AND(AC$16&gt;=$I50,AC$16&lt;=$K50),"",0)</f>
        <v/>
      </c>
      <c r="AD50" s="114" t="str">
        <f t="shared" ref="AD50:AD55" si="209">+IF(AND(AD$16&gt;=$I50,AD$16&lt;=$K50),"",0)</f>
        <v/>
      </c>
      <c r="AE50" s="117" t="str">
        <f t="shared" ref="AE50:AE55" si="210">+IF(AND(AE$16&gt;=$I50,AE$16&lt;=$K50),"",0)</f>
        <v/>
      </c>
      <c r="AF50" s="117">
        <f t="shared" ref="AF50:AF55" si="211">+IF(AND(AF$16&gt;=$I50,AF$16&lt;=$K50),"",0)</f>
        <v>0</v>
      </c>
      <c r="AG50" s="117">
        <f t="shared" ref="AG50:AG55" si="212">+IF(AND(AG$16&gt;=$I50,AG$16&lt;=$K50),"",0)</f>
        <v>0</v>
      </c>
      <c r="AH50" s="117">
        <f t="shared" ref="AH50:AH55" si="213">+IF(AND(AH$16&gt;=$I50,AH$16&lt;=$K50),"",0)</f>
        <v>0</v>
      </c>
      <c r="AI50" s="117">
        <f t="shared" ref="AI50:AI55" si="214">+IF(AND(AI$16&gt;=$I50,AI$16&lt;=$K50),"",0)</f>
        <v>0</v>
      </c>
      <c r="AJ50" s="118">
        <f t="shared" ref="AJ50:AJ55" si="215">+IF(AND(AJ$16&gt;=$I50,AJ$16&lt;=$K50),"",0)</f>
        <v>0</v>
      </c>
      <c r="AK50" s="114">
        <f t="shared" ref="AK50:AK55" si="216">+IF(AND(AK$16&gt;=$I50,AK$16&lt;=$K50),"",0)</f>
        <v>0</v>
      </c>
      <c r="AL50" s="117">
        <f t="shared" ref="AL50:AL55" si="217">+IF(AND(AL$16&gt;=$I50,AL$16&lt;=$K50),"",0)</f>
        <v>0</v>
      </c>
      <c r="AM50" s="117">
        <f t="shared" ref="AM50:AM55" si="218">+IF(AND(AM$16&gt;=$I50,AM$16&lt;=$K50),"",0)</f>
        <v>0</v>
      </c>
      <c r="AN50" s="117">
        <f t="shared" ref="AN50:AN55" si="219">+IF(AND(AN$16&gt;=$I50,AN$16&lt;=$K50),"",0)</f>
        <v>0</v>
      </c>
      <c r="AO50" s="117">
        <f t="shared" ref="AO50:AO55" si="220">+IF(AND(AO$16&gt;=$I50,AO$16&lt;=$K50),"",0)</f>
        <v>0</v>
      </c>
      <c r="AP50" s="117">
        <f t="shared" ref="AP50:AP55" si="221">+IF(AND(AP$16&gt;=$I50,AP$16&lt;=$K50),"",0)</f>
        <v>0</v>
      </c>
      <c r="AQ50" s="118">
        <f t="shared" ref="AQ50:AQ55" si="222">+IF(AND(AQ$16&gt;=$I50,AQ$16&lt;=$K50),"",0)</f>
        <v>0</v>
      </c>
      <c r="AR50" s="115">
        <f t="shared" ref="AR50:AR55" si="223">+IF(AND(AR$16&gt;=$I50,AR$16&lt;=$K50),"",0)</f>
        <v>0</v>
      </c>
      <c r="AS50" s="115">
        <f t="shared" ref="AS50:AS55" si="224">+IF(AND(AS$16&gt;=$I50,AS$16&lt;=$K50),"",0)</f>
        <v>0</v>
      </c>
      <c r="AT50" s="115">
        <f t="shared" ref="AT50:AT55" si="225">+IF(AND(AT$16&gt;=$I50,AT$16&lt;=$K50),"",0)</f>
        <v>0</v>
      </c>
      <c r="AU50" s="115">
        <f t="shared" ref="AU50:AU55" si="226">+IF(AND(AU$16&gt;=$I50,AU$16&lt;=$K50),"",0)</f>
        <v>0</v>
      </c>
      <c r="AV50" s="115">
        <f t="shared" ref="AV50:AV55" si="227">+IF(AND(AV$16&gt;=$I50,AV$16&lt;=$K50),"",0)</f>
        <v>0</v>
      </c>
      <c r="AW50" s="115">
        <f t="shared" ref="AW50:AW55" si="228">+IF(AND(AW$16&gt;=$I50,AW$16&lt;=$K50),"",0)</f>
        <v>0</v>
      </c>
      <c r="AX50" s="115">
        <f t="shared" ref="AX50:AX55" si="229">+IF(AND(AX$16&gt;=$I50,AX$16&lt;=$K50),"",0)</f>
        <v>0</v>
      </c>
      <c r="AY50" s="40"/>
    </row>
    <row r="51" spans="1:51" s="26" customFormat="1" ht="27.6" customHeight="1" outlineLevel="1" x14ac:dyDescent="0.3">
      <c r="A51" s="13"/>
      <c r="B51" s="13"/>
      <c r="C51" s="13"/>
      <c r="D51" s="69">
        <f t="shared" ref="D51:D113" si="230">+D50+1</f>
        <v>3</v>
      </c>
      <c r="E51" s="70" t="s">
        <v>80</v>
      </c>
      <c r="F51" s="49">
        <v>0</v>
      </c>
      <c r="G51" s="95" t="str">
        <f t="shared" si="190"/>
        <v>YES</v>
      </c>
      <c r="H51" s="96">
        <v>43606</v>
      </c>
      <c r="I51" s="96">
        <v>43606</v>
      </c>
      <c r="J51" s="96">
        <f t="shared" si="193"/>
        <v>43606</v>
      </c>
      <c r="K51" s="35">
        <f t="shared" si="194"/>
        <v>43606</v>
      </c>
      <c r="L51" s="103">
        <v>1</v>
      </c>
      <c r="M51" s="103">
        <v>1</v>
      </c>
      <c r="N51" s="103">
        <v>2</v>
      </c>
      <c r="O51" s="103">
        <v>2</v>
      </c>
      <c r="P51" s="114">
        <f t="shared" si="195"/>
        <v>0</v>
      </c>
      <c r="Q51" s="115">
        <f t="shared" si="196"/>
        <v>0</v>
      </c>
      <c r="R51" s="115">
        <f t="shared" si="197"/>
        <v>0</v>
      </c>
      <c r="S51" s="115">
        <f t="shared" si="198"/>
        <v>0</v>
      </c>
      <c r="T51" s="115">
        <f t="shared" si="199"/>
        <v>0</v>
      </c>
      <c r="U51" s="115">
        <f t="shared" si="200"/>
        <v>0</v>
      </c>
      <c r="V51" s="116">
        <f t="shared" si="201"/>
        <v>0</v>
      </c>
      <c r="W51" s="114">
        <f t="shared" si="202"/>
        <v>0</v>
      </c>
      <c r="X51" s="117">
        <f t="shared" si="203"/>
        <v>0</v>
      </c>
      <c r="Y51" s="117">
        <f t="shared" si="204"/>
        <v>0</v>
      </c>
      <c r="Z51" s="117">
        <f t="shared" si="205"/>
        <v>0</v>
      </c>
      <c r="AA51" s="117">
        <f t="shared" si="206"/>
        <v>0</v>
      </c>
      <c r="AB51" s="117">
        <f t="shared" si="207"/>
        <v>0</v>
      </c>
      <c r="AC51" s="118">
        <f t="shared" si="208"/>
        <v>0</v>
      </c>
      <c r="AD51" s="114">
        <f t="shared" si="209"/>
        <v>0</v>
      </c>
      <c r="AE51" s="117">
        <f t="shared" si="210"/>
        <v>0</v>
      </c>
      <c r="AF51" s="117">
        <f t="shared" si="211"/>
        <v>0</v>
      </c>
      <c r="AG51" s="117">
        <f t="shared" si="212"/>
        <v>0</v>
      </c>
      <c r="AH51" s="117">
        <f t="shared" si="213"/>
        <v>0</v>
      </c>
      <c r="AI51" s="117">
        <f t="shared" si="214"/>
        <v>0</v>
      </c>
      <c r="AJ51" s="118">
        <f t="shared" si="215"/>
        <v>0</v>
      </c>
      <c r="AK51" s="114">
        <f t="shared" si="216"/>
        <v>0</v>
      </c>
      <c r="AL51" s="117">
        <f t="shared" si="217"/>
        <v>0</v>
      </c>
      <c r="AM51" s="117">
        <f t="shared" si="218"/>
        <v>0</v>
      </c>
      <c r="AN51" s="117">
        <f t="shared" si="219"/>
        <v>0</v>
      </c>
      <c r="AO51" s="117">
        <f t="shared" si="220"/>
        <v>0</v>
      </c>
      <c r="AP51" s="117">
        <f t="shared" si="221"/>
        <v>0</v>
      </c>
      <c r="AQ51" s="118">
        <f t="shared" si="222"/>
        <v>0</v>
      </c>
      <c r="AR51" s="115">
        <f t="shared" si="223"/>
        <v>0</v>
      </c>
      <c r="AS51" s="115">
        <f t="shared" si="224"/>
        <v>0</v>
      </c>
      <c r="AT51" s="115">
        <f t="shared" si="225"/>
        <v>0</v>
      </c>
      <c r="AU51" s="115">
        <f t="shared" si="226"/>
        <v>0</v>
      </c>
      <c r="AV51" s="115">
        <f t="shared" si="227"/>
        <v>0</v>
      </c>
      <c r="AW51" s="115">
        <f t="shared" si="228"/>
        <v>0</v>
      </c>
      <c r="AX51" s="115">
        <f t="shared" si="229"/>
        <v>0</v>
      </c>
      <c r="AY51" s="40"/>
    </row>
    <row r="52" spans="1:51" s="26" customFormat="1" ht="27.6" customHeight="1" outlineLevel="1" x14ac:dyDescent="0.3">
      <c r="A52" s="13"/>
      <c r="B52" s="13"/>
      <c r="C52" s="13"/>
      <c r="D52" s="69">
        <f t="shared" si="230"/>
        <v>4</v>
      </c>
      <c r="E52" s="70" t="s">
        <v>90</v>
      </c>
      <c r="F52" s="49">
        <v>0</v>
      </c>
      <c r="G52" s="95" t="str">
        <f t="shared" si="190"/>
        <v>YES</v>
      </c>
      <c r="H52" s="96">
        <v>43616</v>
      </c>
      <c r="I52" s="96">
        <v>43616</v>
      </c>
      <c r="J52" s="96">
        <f t="shared" si="193"/>
        <v>43618</v>
      </c>
      <c r="K52" s="35">
        <f t="shared" si="194"/>
        <v>43618</v>
      </c>
      <c r="L52" s="103">
        <v>3</v>
      </c>
      <c r="M52" s="103">
        <v>3</v>
      </c>
      <c r="N52" s="103">
        <v>8</v>
      </c>
      <c r="O52" s="103">
        <v>8</v>
      </c>
      <c r="P52" s="114">
        <f t="shared" si="195"/>
        <v>0</v>
      </c>
      <c r="Q52" s="115">
        <f t="shared" si="196"/>
        <v>0</v>
      </c>
      <c r="R52" s="115">
        <f t="shared" si="197"/>
        <v>0</v>
      </c>
      <c r="S52" s="115">
        <f t="shared" si="198"/>
        <v>0</v>
      </c>
      <c r="T52" s="115">
        <f t="shared" si="199"/>
        <v>0</v>
      </c>
      <c r="U52" s="115">
        <f t="shared" si="200"/>
        <v>0</v>
      </c>
      <c r="V52" s="116">
        <f t="shared" si="201"/>
        <v>0</v>
      </c>
      <c r="W52" s="114">
        <f t="shared" si="202"/>
        <v>0</v>
      </c>
      <c r="X52" s="117">
        <f t="shared" si="203"/>
        <v>0</v>
      </c>
      <c r="Y52" s="117">
        <f t="shared" si="204"/>
        <v>0</v>
      </c>
      <c r="Z52" s="117">
        <f t="shared" si="205"/>
        <v>0</v>
      </c>
      <c r="AA52" s="117">
        <f t="shared" si="206"/>
        <v>0</v>
      </c>
      <c r="AB52" s="117">
        <f t="shared" si="207"/>
        <v>0</v>
      </c>
      <c r="AC52" s="118">
        <f t="shared" si="208"/>
        <v>0</v>
      </c>
      <c r="AD52" s="114">
        <f t="shared" si="209"/>
        <v>0</v>
      </c>
      <c r="AE52" s="117">
        <f t="shared" si="210"/>
        <v>0</v>
      </c>
      <c r="AF52" s="117">
        <f t="shared" si="211"/>
        <v>0</v>
      </c>
      <c r="AG52" s="117">
        <f t="shared" si="212"/>
        <v>0</v>
      </c>
      <c r="AH52" s="117">
        <f t="shared" si="213"/>
        <v>0</v>
      </c>
      <c r="AI52" s="117">
        <f t="shared" si="214"/>
        <v>0</v>
      </c>
      <c r="AJ52" s="118">
        <f t="shared" si="215"/>
        <v>0</v>
      </c>
      <c r="AK52" s="114">
        <f t="shared" si="216"/>
        <v>0</v>
      </c>
      <c r="AL52" s="117">
        <f t="shared" si="217"/>
        <v>0</v>
      </c>
      <c r="AM52" s="117">
        <f t="shared" si="218"/>
        <v>0</v>
      </c>
      <c r="AN52" s="117">
        <f t="shared" si="219"/>
        <v>0</v>
      </c>
      <c r="AO52" s="117">
        <f t="shared" si="220"/>
        <v>0</v>
      </c>
      <c r="AP52" s="117">
        <f t="shared" si="221"/>
        <v>0</v>
      </c>
      <c r="AQ52" s="118">
        <f t="shared" si="222"/>
        <v>0</v>
      </c>
      <c r="AR52" s="115">
        <f t="shared" si="223"/>
        <v>0</v>
      </c>
      <c r="AS52" s="115">
        <f t="shared" si="224"/>
        <v>0</v>
      </c>
      <c r="AT52" s="115">
        <f t="shared" si="225"/>
        <v>0</v>
      </c>
      <c r="AU52" s="115">
        <f t="shared" si="226"/>
        <v>0</v>
      </c>
      <c r="AV52" s="115">
        <f t="shared" si="227"/>
        <v>0</v>
      </c>
      <c r="AW52" s="115">
        <f t="shared" si="228"/>
        <v>0</v>
      </c>
      <c r="AX52" s="115">
        <f t="shared" si="229"/>
        <v>0</v>
      </c>
      <c r="AY52" s="40"/>
    </row>
    <row r="53" spans="1:51" s="26" customFormat="1" ht="27.6" customHeight="1" outlineLevel="1" x14ac:dyDescent="0.3">
      <c r="A53" s="13"/>
      <c r="B53" s="13"/>
      <c r="C53" s="13"/>
      <c r="D53" s="69">
        <f t="shared" si="230"/>
        <v>5</v>
      </c>
      <c r="E53" s="70" t="s">
        <v>81</v>
      </c>
      <c r="F53" s="49">
        <v>0</v>
      </c>
      <c r="G53" s="95" t="str">
        <f t="shared" si="190"/>
        <v>YES</v>
      </c>
      <c r="H53" s="96">
        <v>43689</v>
      </c>
      <c r="I53" s="96">
        <v>43689</v>
      </c>
      <c r="J53" s="96">
        <f t="shared" si="193"/>
        <v>43690</v>
      </c>
      <c r="K53" s="35">
        <f t="shared" si="194"/>
        <v>43690</v>
      </c>
      <c r="L53" s="103">
        <v>2</v>
      </c>
      <c r="M53" s="103">
        <v>2</v>
      </c>
      <c r="N53" s="103">
        <v>8</v>
      </c>
      <c r="O53" s="103">
        <v>8</v>
      </c>
      <c r="P53" s="114">
        <f t="shared" si="195"/>
        <v>0</v>
      </c>
      <c r="Q53" s="115">
        <f t="shared" si="196"/>
        <v>0</v>
      </c>
      <c r="R53" s="115">
        <f t="shared" si="197"/>
        <v>0</v>
      </c>
      <c r="S53" s="115">
        <f t="shared" si="198"/>
        <v>0</v>
      </c>
      <c r="T53" s="115">
        <f t="shared" si="199"/>
        <v>0</v>
      </c>
      <c r="U53" s="115">
        <f t="shared" si="200"/>
        <v>0</v>
      </c>
      <c r="V53" s="116">
        <f t="shared" si="201"/>
        <v>0</v>
      </c>
      <c r="W53" s="114">
        <f t="shared" si="202"/>
        <v>0</v>
      </c>
      <c r="X53" s="117">
        <f t="shared" si="203"/>
        <v>0</v>
      </c>
      <c r="Y53" s="117">
        <f t="shared" si="204"/>
        <v>0</v>
      </c>
      <c r="Z53" s="117">
        <f t="shared" si="205"/>
        <v>0</v>
      </c>
      <c r="AA53" s="117" t="str">
        <f t="shared" si="206"/>
        <v/>
      </c>
      <c r="AB53" s="117" t="str">
        <f t="shared" si="207"/>
        <v/>
      </c>
      <c r="AC53" s="118">
        <f t="shared" si="208"/>
        <v>0</v>
      </c>
      <c r="AD53" s="114">
        <f t="shared" si="209"/>
        <v>0</v>
      </c>
      <c r="AE53" s="117">
        <f t="shared" si="210"/>
        <v>0</v>
      </c>
      <c r="AF53" s="117">
        <f t="shared" si="211"/>
        <v>0</v>
      </c>
      <c r="AG53" s="117">
        <f t="shared" si="212"/>
        <v>0</v>
      </c>
      <c r="AH53" s="117">
        <f t="shared" si="213"/>
        <v>0</v>
      </c>
      <c r="AI53" s="117">
        <f t="shared" si="214"/>
        <v>0</v>
      </c>
      <c r="AJ53" s="118">
        <f t="shared" si="215"/>
        <v>0</v>
      </c>
      <c r="AK53" s="114">
        <f t="shared" si="216"/>
        <v>0</v>
      </c>
      <c r="AL53" s="117">
        <f t="shared" si="217"/>
        <v>0</v>
      </c>
      <c r="AM53" s="117">
        <f t="shared" si="218"/>
        <v>0</v>
      </c>
      <c r="AN53" s="117">
        <f t="shared" si="219"/>
        <v>0</v>
      </c>
      <c r="AO53" s="117">
        <f t="shared" si="220"/>
        <v>0</v>
      </c>
      <c r="AP53" s="117">
        <f t="shared" si="221"/>
        <v>0</v>
      </c>
      <c r="AQ53" s="118">
        <f t="shared" si="222"/>
        <v>0</v>
      </c>
      <c r="AR53" s="115">
        <f t="shared" si="223"/>
        <v>0</v>
      </c>
      <c r="AS53" s="115">
        <f t="shared" si="224"/>
        <v>0</v>
      </c>
      <c r="AT53" s="115">
        <f t="shared" si="225"/>
        <v>0</v>
      </c>
      <c r="AU53" s="115">
        <f t="shared" si="226"/>
        <v>0</v>
      </c>
      <c r="AV53" s="115">
        <f t="shared" si="227"/>
        <v>0</v>
      </c>
      <c r="AW53" s="115">
        <f t="shared" si="228"/>
        <v>0</v>
      </c>
      <c r="AX53" s="115">
        <f t="shared" si="229"/>
        <v>0</v>
      </c>
      <c r="AY53" s="40"/>
    </row>
    <row r="54" spans="1:51" s="26" customFormat="1" ht="27.6" customHeight="1" outlineLevel="1" x14ac:dyDescent="0.3">
      <c r="A54" s="13"/>
      <c r="B54" s="13"/>
      <c r="C54" s="13"/>
      <c r="D54" s="69">
        <f t="shared" si="230"/>
        <v>6</v>
      </c>
      <c r="E54" s="70" t="s">
        <v>91</v>
      </c>
      <c r="F54" s="49">
        <v>0</v>
      </c>
      <c r="G54" s="95" t="str">
        <f t="shared" si="190"/>
        <v>YES</v>
      </c>
      <c r="H54" s="96">
        <v>43692</v>
      </c>
      <c r="I54" s="96">
        <v>43692</v>
      </c>
      <c r="J54" s="96">
        <f t="shared" si="193"/>
        <v>43694</v>
      </c>
      <c r="K54" s="35">
        <f t="shared" si="194"/>
        <v>43694</v>
      </c>
      <c r="L54" s="103">
        <v>3</v>
      </c>
      <c r="M54" s="103">
        <v>3</v>
      </c>
      <c r="N54" s="103">
        <v>8</v>
      </c>
      <c r="O54" s="103">
        <v>8</v>
      </c>
      <c r="P54" s="114">
        <f t="shared" si="195"/>
        <v>0</v>
      </c>
      <c r="Q54" s="115">
        <f t="shared" si="196"/>
        <v>0</v>
      </c>
      <c r="R54" s="115">
        <f t="shared" si="197"/>
        <v>0</v>
      </c>
      <c r="S54" s="115">
        <f t="shared" si="198"/>
        <v>0</v>
      </c>
      <c r="T54" s="115">
        <f t="shared" si="199"/>
        <v>0</v>
      </c>
      <c r="U54" s="115">
        <f t="shared" si="200"/>
        <v>0</v>
      </c>
      <c r="V54" s="116">
        <f t="shared" si="201"/>
        <v>0</v>
      </c>
      <c r="W54" s="114">
        <f t="shared" si="202"/>
        <v>0</v>
      </c>
      <c r="X54" s="117">
        <f t="shared" si="203"/>
        <v>0</v>
      </c>
      <c r="Y54" s="117">
        <f t="shared" si="204"/>
        <v>0</v>
      </c>
      <c r="Z54" s="117">
        <f t="shared" si="205"/>
        <v>0</v>
      </c>
      <c r="AA54" s="117">
        <f t="shared" si="206"/>
        <v>0</v>
      </c>
      <c r="AB54" s="117">
        <f t="shared" si="207"/>
        <v>0</v>
      </c>
      <c r="AC54" s="118">
        <f t="shared" si="208"/>
        <v>0</v>
      </c>
      <c r="AD54" s="114" t="str">
        <f t="shared" si="209"/>
        <v/>
      </c>
      <c r="AE54" s="117" t="str">
        <f t="shared" si="210"/>
        <v/>
      </c>
      <c r="AF54" s="117" t="str">
        <f t="shared" si="211"/>
        <v/>
      </c>
      <c r="AG54" s="117">
        <f t="shared" si="212"/>
        <v>0</v>
      </c>
      <c r="AH54" s="117">
        <f t="shared" si="213"/>
        <v>0</v>
      </c>
      <c r="AI54" s="117">
        <f t="shared" si="214"/>
        <v>0</v>
      </c>
      <c r="AJ54" s="118">
        <f t="shared" si="215"/>
        <v>0</v>
      </c>
      <c r="AK54" s="114">
        <f t="shared" si="216"/>
        <v>0</v>
      </c>
      <c r="AL54" s="117">
        <f t="shared" si="217"/>
        <v>0</v>
      </c>
      <c r="AM54" s="117">
        <f t="shared" si="218"/>
        <v>0</v>
      </c>
      <c r="AN54" s="117">
        <f t="shared" si="219"/>
        <v>0</v>
      </c>
      <c r="AO54" s="117">
        <f t="shared" si="220"/>
        <v>0</v>
      </c>
      <c r="AP54" s="117">
        <f t="shared" si="221"/>
        <v>0</v>
      </c>
      <c r="AQ54" s="118">
        <f t="shared" si="222"/>
        <v>0</v>
      </c>
      <c r="AR54" s="115">
        <f t="shared" si="223"/>
        <v>0</v>
      </c>
      <c r="AS54" s="115">
        <f t="shared" si="224"/>
        <v>0</v>
      </c>
      <c r="AT54" s="115">
        <f t="shared" si="225"/>
        <v>0</v>
      </c>
      <c r="AU54" s="115">
        <f t="shared" si="226"/>
        <v>0</v>
      </c>
      <c r="AV54" s="115">
        <f t="shared" si="227"/>
        <v>0</v>
      </c>
      <c r="AW54" s="115">
        <f t="shared" si="228"/>
        <v>0</v>
      </c>
      <c r="AX54" s="115">
        <f t="shared" si="229"/>
        <v>0</v>
      </c>
      <c r="AY54" s="40"/>
    </row>
    <row r="55" spans="1:51" s="26" customFormat="1" ht="27.6" customHeight="1" outlineLevel="1" x14ac:dyDescent="0.3">
      <c r="A55" s="13"/>
      <c r="B55" s="13"/>
      <c r="C55" s="13"/>
      <c r="D55" s="69">
        <f t="shared" si="230"/>
        <v>7</v>
      </c>
      <c r="E55" s="70" t="s">
        <v>82</v>
      </c>
      <c r="F55" s="49">
        <v>0</v>
      </c>
      <c r="G55" s="95" t="str">
        <f t="shared" si="190"/>
        <v>YES</v>
      </c>
      <c r="H55" s="96">
        <v>43639</v>
      </c>
      <c r="I55" s="96">
        <v>43639</v>
      </c>
      <c r="J55" s="96">
        <f t="shared" si="193"/>
        <v>43639</v>
      </c>
      <c r="K55" s="35">
        <f t="shared" si="194"/>
        <v>43639</v>
      </c>
      <c r="L55" s="103">
        <v>1</v>
      </c>
      <c r="M55" s="103">
        <v>1</v>
      </c>
      <c r="N55" s="103">
        <v>2</v>
      </c>
      <c r="O55" s="103">
        <v>2</v>
      </c>
      <c r="P55" s="114">
        <f t="shared" si="195"/>
        <v>0</v>
      </c>
      <c r="Q55" s="115">
        <f t="shared" si="196"/>
        <v>0</v>
      </c>
      <c r="R55" s="115">
        <f t="shared" si="197"/>
        <v>0</v>
      </c>
      <c r="S55" s="115">
        <f t="shared" si="198"/>
        <v>0</v>
      </c>
      <c r="T55" s="115">
        <f t="shared" si="199"/>
        <v>0</v>
      </c>
      <c r="U55" s="115">
        <f t="shared" si="200"/>
        <v>0</v>
      </c>
      <c r="V55" s="116">
        <f t="shared" si="201"/>
        <v>0</v>
      </c>
      <c r="W55" s="114">
        <f t="shared" si="202"/>
        <v>0</v>
      </c>
      <c r="X55" s="117">
        <f t="shared" si="203"/>
        <v>0</v>
      </c>
      <c r="Y55" s="117">
        <f t="shared" si="204"/>
        <v>0</v>
      </c>
      <c r="Z55" s="117">
        <f t="shared" si="205"/>
        <v>0</v>
      </c>
      <c r="AA55" s="117">
        <f t="shared" si="206"/>
        <v>0</v>
      </c>
      <c r="AB55" s="117">
        <f t="shared" si="207"/>
        <v>0</v>
      </c>
      <c r="AC55" s="118">
        <f t="shared" si="208"/>
        <v>0</v>
      </c>
      <c r="AD55" s="114">
        <f t="shared" si="209"/>
        <v>0</v>
      </c>
      <c r="AE55" s="117">
        <f t="shared" si="210"/>
        <v>0</v>
      </c>
      <c r="AF55" s="117">
        <f t="shared" si="211"/>
        <v>0</v>
      </c>
      <c r="AG55" s="117">
        <f t="shared" si="212"/>
        <v>0</v>
      </c>
      <c r="AH55" s="117">
        <f t="shared" si="213"/>
        <v>0</v>
      </c>
      <c r="AI55" s="117">
        <f t="shared" si="214"/>
        <v>0</v>
      </c>
      <c r="AJ55" s="118">
        <f t="shared" si="215"/>
        <v>0</v>
      </c>
      <c r="AK55" s="114">
        <f t="shared" si="216"/>
        <v>0</v>
      </c>
      <c r="AL55" s="117">
        <f t="shared" si="217"/>
        <v>0</v>
      </c>
      <c r="AM55" s="117">
        <f t="shared" si="218"/>
        <v>0</v>
      </c>
      <c r="AN55" s="117">
        <f t="shared" si="219"/>
        <v>0</v>
      </c>
      <c r="AO55" s="117">
        <f t="shared" si="220"/>
        <v>0</v>
      </c>
      <c r="AP55" s="117">
        <f t="shared" si="221"/>
        <v>0</v>
      </c>
      <c r="AQ55" s="118">
        <f t="shared" si="222"/>
        <v>0</v>
      </c>
      <c r="AR55" s="115">
        <f t="shared" si="223"/>
        <v>0</v>
      </c>
      <c r="AS55" s="115">
        <f t="shared" si="224"/>
        <v>0</v>
      </c>
      <c r="AT55" s="115">
        <f t="shared" si="225"/>
        <v>0</v>
      </c>
      <c r="AU55" s="115">
        <f t="shared" si="226"/>
        <v>0</v>
      </c>
      <c r="AV55" s="115">
        <f t="shared" si="227"/>
        <v>0</v>
      </c>
      <c r="AW55" s="115">
        <f t="shared" si="228"/>
        <v>0</v>
      </c>
      <c r="AX55" s="115">
        <f t="shared" si="229"/>
        <v>0</v>
      </c>
      <c r="AY55" s="40"/>
    </row>
    <row r="56" spans="1:51" s="26" customFormat="1" ht="27.6" customHeight="1" outlineLevel="1" x14ac:dyDescent="0.3">
      <c r="A56" s="13"/>
      <c r="B56" s="13"/>
      <c r="C56" s="13"/>
      <c r="D56" s="69">
        <f t="shared" si="230"/>
        <v>8</v>
      </c>
      <c r="E56" s="70" t="s">
        <v>92</v>
      </c>
      <c r="F56" s="49">
        <v>0</v>
      </c>
      <c r="G56" s="95" t="str">
        <f t="shared" si="190"/>
        <v>YES</v>
      </c>
      <c r="H56" s="96">
        <v>43641</v>
      </c>
      <c r="I56" s="96">
        <v>43641</v>
      </c>
      <c r="J56" s="96">
        <f t="shared" si="193"/>
        <v>43643</v>
      </c>
      <c r="K56" s="35">
        <f t="shared" si="194"/>
        <v>43643</v>
      </c>
      <c r="L56" s="103">
        <v>3</v>
      </c>
      <c r="M56" s="103">
        <v>3</v>
      </c>
      <c r="N56" s="103">
        <v>2</v>
      </c>
      <c r="O56" s="103">
        <v>2</v>
      </c>
      <c r="P56" s="114">
        <f t="shared" ref="P56:P59" si="231">+IF(AND(P$16&gt;=$I56,P$16&lt;=$K56),"",0)</f>
        <v>0</v>
      </c>
      <c r="Q56" s="115">
        <f t="shared" ref="Q56:Q59" si="232">+IF(AND(Q$16&gt;=$I56,Q$16&lt;=$K56),"",0)</f>
        <v>0</v>
      </c>
      <c r="R56" s="115">
        <f t="shared" ref="R56:R59" si="233">+IF(AND(R$16&gt;=$I56,R$16&lt;=$K56),"",0)</f>
        <v>0</v>
      </c>
      <c r="S56" s="115">
        <f t="shared" ref="S56:S59" si="234">+IF(AND(S$16&gt;=$I56,S$16&lt;=$K56),"",0)</f>
        <v>0</v>
      </c>
      <c r="T56" s="115">
        <f t="shared" ref="T56:T59" si="235">+IF(AND(T$16&gt;=$I56,T$16&lt;=$K56),"",0)</f>
        <v>0</v>
      </c>
      <c r="U56" s="115">
        <f t="shared" ref="U56:U59" si="236">+IF(AND(U$16&gt;=$I56,U$16&lt;=$K56),"",0)</f>
        <v>0</v>
      </c>
      <c r="V56" s="116">
        <f t="shared" ref="V56:V59" si="237">+IF(AND(V$16&gt;=$I56,V$16&lt;=$K56),"",0)</f>
        <v>0</v>
      </c>
      <c r="W56" s="114">
        <f t="shared" ref="W56:W59" si="238">+IF(AND(W$16&gt;=$I56,W$16&lt;=$K56),"",0)</f>
        <v>0</v>
      </c>
      <c r="X56" s="117">
        <f t="shared" ref="X56:X59" si="239">+IF(AND(X$16&gt;=$I56,X$16&lt;=$K56),"",0)</f>
        <v>0</v>
      </c>
      <c r="Y56" s="117">
        <f t="shared" ref="Y56:Y59" si="240">+IF(AND(Y$16&gt;=$I56,Y$16&lt;=$K56),"",0)</f>
        <v>0</v>
      </c>
      <c r="Z56" s="117">
        <f t="shared" ref="Z56:Z59" si="241">+IF(AND(Z$16&gt;=$I56,Z$16&lt;=$K56),"",0)</f>
        <v>0</v>
      </c>
      <c r="AA56" s="117">
        <f t="shared" ref="AA56:AA59" si="242">+IF(AND(AA$16&gt;=$I56,AA$16&lt;=$K56),"",0)</f>
        <v>0</v>
      </c>
      <c r="AB56" s="117">
        <f t="shared" ref="AB56:AB59" si="243">+IF(AND(AB$16&gt;=$I56,AB$16&lt;=$K56),"",0)</f>
        <v>0</v>
      </c>
      <c r="AC56" s="118">
        <f t="shared" ref="AC56:AC59" si="244">+IF(AND(AC$16&gt;=$I56,AC$16&lt;=$K56),"",0)</f>
        <v>0</v>
      </c>
      <c r="AD56" s="114">
        <f t="shared" ref="AD56:AD59" si="245">+IF(AND(AD$16&gt;=$I56,AD$16&lt;=$K56),"",0)</f>
        <v>0</v>
      </c>
      <c r="AE56" s="117">
        <f t="shared" ref="AE56:AE59" si="246">+IF(AND(AE$16&gt;=$I56,AE$16&lt;=$K56),"",0)</f>
        <v>0</v>
      </c>
      <c r="AF56" s="117">
        <f t="shared" ref="AF56:AF59" si="247">+IF(AND(AF$16&gt;=$I56,AF$16&lt;=$K56),"",0)</f>
        <v>0</v>
      </c>
      <c r="AG56" s="117">
        <f t="shared" ref="AG56:AG59" si="248">+IF(AND(AG$16&gt;=$I56,AG$16&lt;=$K56),"",0)</f>
        <v>0</v>
      </c>
      <c r="AH56" s="117">
        <f t="shared" ref="AH56:AH59" si="249">+IF(AND(AH$16&gt;=$I56,AH$16&lt;=$K56),"",0)</f>
        <v>0</v>
      </c>
      <c r="AI56" s="117">
        <f t="shared" ref="AI56:AI59" si="250">+IF(AND(AI$16&gt;=$I56,AI$16&lt;=$K56),"",0)</f>
        <v>0</v>
      </c>
      <c r="AJ56" s="118">
        <f t="shared" ref="AJ56:AJ59" si="251">+IF(AND(AJ$16&gt;=$I56,AJ$16&lt;=$K56),"",0)</f>
        <v>0</v>
      </c>
      <c r="AK56" s="114">
        <f t="shared" ref="AK56:AK59" si="252">+IF(AND(AK$16&gt;=$I56,AK$16&lt;=$K56),"",0)</f>
        <v>0</v>
      </c>
      <c r="AL56" s="117">
        <f t="shared" ref="AL56:AL59" si="253">+IF(AND(AL$16&gt;=$I56,AL$16&lt;=$K56),"",0)</f>
        <v>0</v>
      </c>
      <c r="AM56" s="117">
        <f t="shared" ref="AM56:AM59" si="254">+IF(AND(AM$16&gt;=$I56,AM$16&lt;=$K56),"",0)</f>
        <v>0</v>
      </c>
      <c r="AN56" s="117">
        <f t="shared" ref="AN56:AN59" si="255">+IF(AND(AN$16&gt;=$I56,AN$16&lt;=$K56),"",0)</f>
        <v>0</v>
      </c>
      <c r="AO56" s="117">
        <f t="shared" ref="AO56:AO59" si="256">+IF(AND(AO$16&gt;=$I56,AO$16&lt;=$K56),"",0)</f>
        <v>0</v>
      </c>
      <c r="AP56" s="117">
        <f t="shared" ref="AP56:AP59" si="257">+IF(AND(AP$16&gt;=$I56,AP$16&lt;=$K56),"",0)</f>
        <v>0</v>
      </c>
      <c r="AQ56" s="118">
        <f t="shared" ref="AQ56:AQ59" si="258">+IF(AND(AQ$16&gt;=$I56,AQ$16&lt;=$K56),"",0)</f>
        <v>0</v>
      </c>
      <c r="AR56" s="115">
        <f t="shared" ref="AR56:AR59" si="259">+IF(AND(AR$16&gt;=$I56,AR$16&lt;=$K56),"",0)</f>
        <v>0</v>
      </c>
      <c r="AS56" s="115">
        <f t="shared" ref="AS56:AS59" si="260">+IF(AND(AS$16&gt;=$I56,AS$16&lt;=$K56),"",0)</f>
        <v>0</v>
      </c>
      <c r="AT56" s="115">
        <f t="shared" ref="AT56:AT59" si="261">+IF(AND(AT$16&gt;=$I56,AT$16&lt;=$K56),"",0)</f>
        <v>0</v>
      </c>
      <c r="AU56" s="115">
        <f t="shared" ref="AU56:AU59" si="262">+IF(AND(AU$16&gt;=$I56,AU$16&lt;=$K56),"",0)</f>
        <v>0</v>
      </c>
      <c r="AV56" s="115">
        <f t="shared" ref="AV56:AV59" si="263">+IF(AND(AV$16&gt;=$I56,AV$16&lt;=$K56),"",0)</f>
        <v>0</v>
      </c>
      <c r="AW56" s="115">
        <f t="shared" ref="AW56:AW59" si="264">+IF(AND(AW$16&gt;=$I56,AW$16&lt;=$K56),"",0)</f>
        <v>0</v>
      </c>
      <c r="AX56" s="115">
        <f t="shared" ref="AX56:AX59" si="265">+IF(AND(AX$16&gt;=$I56,AX$16&lt;=$K56),"",0)</f>
        <v>0</v>
      </c>
      <c r="AY56" s="40"/>
    </row>
    <row r="57" spans="1:51" s="26" customFormat="1" ht="27.6" customHeight="1" outlineLevel="1" x14ac:dyDescent="0.3">
      <c r="A57" s="13"/>
      <c r="B57" s="13"/>
      <c r="C57" s="13"/>
      <c r="D57" s="69">
        <f t="shared" si="230"/>
        <v>9</v>
      </c>
      <c r="E57" s="70" t="s">
        <v>83</v>
      </c>
      <c r="F57" s="49">
        <v>0</v>
      </c>
      <c r="G57" s="95" t="str">
        <f t="shared" si="190"/>
        <v>YES</v>
      </c>
      <c r="H57" s="96">
        <v>43691</v>
      </c>
      <c r="I57" s="96">
        <v>43691</v>
      </c>
      <c r="J57" s="96">
        <f t="shared" si="193"/>
        <v>43692</v>
      </c>
      <c r="K57" s="35">
        <f t="shared" si="194"/>
        <v>43692</v>
      </c>
      <c r="L57" s="103">
        <v>2</v>
      </c>
      <c r="M57" s="103">
        <v>2</v>
      </c>
      <c r="N57" s="103">
        <v>2</v>
      </c>
      <c r="O57" s="103">
        <v>2</v>
      </c>
      <c r="P57" s="114">
        <f t="shared" si="231"/>
        <v>0</v>
      </c>
      <c r="Q57" s="115">
        <f t="shared" si="232"/>
        <v>0</v>
      </c>
      <c r="R57" s="115">
        <f t="shared" si="233"/>
        <v>0</v>
      </c>
      <c r="S57" s="115">
        <f t="shared" si="234"/>
        <v>0</v>
      </c>
      <c r="T57" s="115">
        <f t="shared" si="235"/>
        <v>0</v>
      </c>
      <c r="U57" s="115">
        <f t="shared" si="236"/>
        <v>0</v>
      </c>
      <c r="V57" s="116">
        <f t="shared" si="237"/>
        <v>0</v>
      </c>
      <c r="W57" s="114">
        <f t="shared" si="238"/>
        <v>0</v>
      </c>
      <c r="X57" s="117">
        <f t="shared" si="239"/>
        <v>0</v>
      </c>
      <c r="Y57" s="117">
        <f t="shared" si="240"/>
        <v>0</v>
      </c>
      <c r="Z57" s="117">
        <f t="shared" si="241"/>
        <v>0</v>
      </c>
      <c r="AA57" s="117">
        <f t="shared" si="242"/>
        <v>0</v>
      </c>
      <c r="AB57" s="117">
        <f t="shared" si="243"/>
        <v>0</v>
      </c>
      <c r="AC57" s="118" t="str">
        <f t="shared" si="244"/>
        <v/>
      </c>
      <c r="AD57" s="114" t="str">
        <f t="shared" si="245"/>
        <v/>
      </c>
      <c r="AE57" s="117">
        <f t="shared" si="246"/>
        <v>0</v>
      </c>
      <c r="AF57" s="117">
        <f t="shared" si="247"/>
        <v>0</v>
      </c>
      <c r="AG57" s="117">
        <f t="shared" si="248"/>
        <v>0</v>
      </c>
      <c r="AH57" s="117">
        <f t="shared" si="249"/>
        <v>0</v>
      </c>
      <c r="AI57" s="117">
        <f t="shared" si="250"/>
        <v>0</v>
      </c>
      <c r="AJ57" s="118">
        <f t="shared" si="251"/>
        <v>0</v>
      </c>
      <c r="AK57" s="114">
        <f t="shared" si="252"/>
        <v>0</v>
      </c>
      <c r="AL57" s="117">
        <f t="shared" si="253"/>
        <v>0</v>
      </c>
      <c r="AM57" s="117">
        <f t="shared" si="254"/>
        <v>0</v>
      </c>
      <c r="AN57" s="117">
        <f t="shared" si="255"/>
        <v>0</v>
      </c>
      <c r="AO57" s="117">
        <f t="shared" si="256"/>
        <v>0</v>
      </c>
      <c r="AP57" s="117">
        <f t="shared" si="257"/>
        <v>0</v>
      </c>
      <c r="AQ57" s="118">
        <f t="shared" si="258"/>
        <v>0</v>
      </c>
      <c r="AR57" s="115">
        <f t="shared" si="259"/>
        <v>0</v>
      </c>
      <c r="AS57" s="115">
        <f t="shared" si="260"/>
        <v>0</v>
      </c>
      <c r="AT57" s="115">
        <f t="shared" si="261"/>
        <v>0</v>
      </c>
      <c r="AU57" s="115">
        <f t="shared" si="262"/>
        <v>0</v>
      </c>
      <c r="AV57" s="115">
        <f t="shared" si="263"/>
        <v>0</v>
      </c>
      <c r="AW57" s="115">
        <f t="shared" si="264"/>
        <v>0</v>
      </c>
      <c r="AX57" s="115">
        <f t="shared" si="265"/>
        <v>0</v>
      </c>
      <c r="AY57" s="40"/>
    </row>
    <row r="58" spans="1:51" s="26" customFormat="1" ht="27.6" customHeight="1" outlineLevel="1" x14ac:dyDescent="0.3">
      <c r="A58" s="13"/>
      <c r="B58" s="13"/>
      <c r="C58" s="13"/>
      <c r="D58" s="69">
        <f t="shared" si="230"/>
        <v>10</v>
      </c>
      <c r="E58" s="70" t="s">
        <v>93</v>
      </c>
      <c r="F58" s="49">
        <v>0</v>
      </c>
      <c r="G58" s="95" t="str">
        <f t="shared" si="190"/>
        <v>YES</v>
      </c>
      <c r="H58" s="96">
        <v>43695</v>
      </c>
      <c r="I58" s="96">
        <v>43695</v>
      </c>
      <c r="J58" s="96">
        <f t="shared" si="193"/>
        <v>43696</v>
      </c>
      <c r="K58" s="35">
        <f t="shared" si="194"/>
        <v>43696</v>
      </c>
      <c r="L58" s="103">
        <v>2</v>
      </c>
      <c r="M58" s="103">
        <v>2</v>
      </c>
      <c r="N58" s="103">
        <v>2</v>
      </c>
      <c r="O58" s="103">
        <v>2</v>
      </c>
      <c r="P58" s="114">
        <f t="shared" si="231"/>
        <v>0</v>
      </c>
      <c r="Q58" s="115">
        <f t="shared" si="232"/>
        <v>0</v>
      </c>
      <c r="R58" s="115">
        <f t="shared" si="233"/>
        <v>0</v>
      </c>
      <c r="S58" s="115">
        <f t="shared" si="234"/>
        <v>0</v>
      </c>
      <c r="T58" s="115">
        <f t="shared" si="235"/>
        <v>0</v>
      </c>
      <c r="U58" s="115">
        <f t="shared" si="236"/>
        <v>0</v>
      </c>
      <c r="V58" s="116">
        <f t="shared" si="237"/>
        <v>0</v>
      </c>
      <c r="W58" s="114">
        <f t="shared" si="238"/>
        <v>0</v>
      </c>
      <c r="X58" s="117">
        <f t="shared" si="239"/>
        <v>0</v>
      </c>
      <c r="Y58" s="117">
        <f t="shared" si="240"/>
        <v>0</v>
      </c>
      <c r="Z58" s="117">
        <f t="shared" si="241"/>
        <v>0</v>
      </c>
      <c r="AA58" s="117">
        <f t="shared" si="242"/>
        <v>0</v>
      </c>
      <c r="AB58" s="117">
        <f t="shared" si="243"/>
        <v>0</v>
      </c>
      <c r="AC58" s="118">
        <f t="shared" si="244"/>
        <v>0</v>
      </c>
      <c r="AD58" s="114">
        <f t="shared" si="245"/>
        <v>0</v>
      </c>
      <c r="AE58" s="117">
        <f t="shared" si="246"/>
        <v>0</v>
      </c>
      <c r="AF58" s="117">
        <f t="shared" si="247"/>
        <v>0</v>
      </c>
      <c r="AG58" s="117" t="str">
        <f t="shared" si="248"/>
        <v/>
      </c>
      <c r="AH58" s="117" t="str">
        <f t="shared" si="249"/>
        <v/>
      </c>
      <c r="AI58" s="117">
        <f t="shared" si="250"/>
        <v>0</v>
      </c>
      <c r="AJ58" s="118">
        <f t="shared" si="251"/>
        <v>0</v>
      </c>
      <c r="AK58" s="114">
        <f t="shared" si="252"/>
        <v>0</v>
      </c>
      <c r="AL58" s="117">
        <f t="shared" si="253"/>
        <v>0</v>
      </c>
      <c r="AM58" s="117">
        <f t="shared" si="254"/>
        <v>0</v>
      </c>
      <c r="AN58" s="117">
        <f t="shared" si="255"/>
        <v>0</v>
      </c>
      <c r="AO58" s="117">
        <f t="shared" si="256"/>
        <v>0</v>
      </c>
      <c r="AP58" s="117">
        <f t="shared" si="257"/>
        <v>0</v>
      </c>
      <c r="AQ58" s="118">
        <f t="shared" si="258"/>
        <v>0</v>
      </c>
      <c r="AR58" s="115">
        <f t="shared" si="259"/>
        <v>0</v>
      </c>
      <c r="AS58" s="115">
        <f t="shared" si="260"/>
        <v>0</v>
      </c>
      <c r="AT58" s="115">
        <f t="shared" si="261"/>
        <v>0</v>
      </c>
      <c r="AU58" s="115">
        <f t="shared" si="262"/>
        <v>0</v>
      </c>
      <c r="AV58" s="115">
        <f t="shared" si="263"/>
        <v>0</v>
      </c>
      <c r="AW58" s="115">
        <f t="shared" si="264"/>
        <v>0</v>
      </c>
      <c r="AX58" s="115">
        <f t="shared" si="265"/>
        <v>0</v>
      </c>
      <c r="AY58" s="40"/>
    </row>
    <row r="59" spans="1:51" s="26" customFormat="1" ht="27.6" customHeight="1" outlineLevel="1" x14ac:dyDescent="0.3">
      <c r="A59" s="13"/>
      <c r="B59" s="13"/>
      <c r="C59" s="13"/>
      <c r="D59" s="69">
        <f t="shared" si="230"/>
        <v>11</v>
      </c>
      <c r="E59" s="70" t="s">
        <v>84</v>
      </c>
      <c r="F59" s="49">
        <v>0</v>
      </c>
      <c r="G59" s="95" t="str">
        <f t="shared" si="190"/>
        <v>YES</v>
      </c>
      <c r="H59" s="96">
        <v>43608</v>
      </c>
      <c r="I59" s="96">
        <v>43608</v>
      </c>
      <c r="J59" s="96">
        <f t="shared" si="193"/>
        <v>43608</v>
      </c>
      <c r="K59" s="35">
        <f t="shared" si="194"/>
        <v>43608</v>
      </c>
      <c r="L59" s="103">
        <v>1</v>
      </c>
      <c r="M59" s="103">
        <v>1</v>
      </c>
      <c r="N59" s="103">
        <v>2</v>
      </c>
      <c r="O59" s="103">
        <v>2</v>
      </c>
      <c r="P59" s="114">
        <f t="shared" si="231"/>
        <v>0</v>
      </c>
      <c r="Q59" s="115">
        <f t="shared" si="232"/>
        <v>0</v>
      </c>
      <c r="R59" s="115">
        <f t="shared" si="233"/>
        <v>0</v>
      </c>
      <c r="S59" s="115">
        <f t="shared" si="234"/>
        <v>0</v>
      </c>
      <c r="T59" s="115">
        <f t="shared" si="235"/>
        <v>0</v>
      </c>
      <c r="U59" s="115">
        <f t="shared" si="236"/>
        <v>0</v>
      </c>
      <c r="V59" s="116">
        <f t="shared" si="237"/>
        <v>0</v>
      </c>
      <c r="W59" s="114">
        <f t="shared" si="238"/>
        <v>0</v>
      </c>
      <c r="X59" s="117">
        <f t="shared" si="239"/>
        <v>0</v>
      </c>
      <c r="Y59" s="117">
        <f t="shared" si="240"/>
        <v>0</v>
      </c>
      <c r="Z59" s="117">
        <f t="shared" si="241"/>
        <v>0</v>
      </c>
      <c r="AA59" s="117">
        <f t="shared" si="242"/>
        <v>0</v>
      </c>
      <c r="AB59" s="117">
        <f t="shared" si="243"/>
        <v>0</v>
      </c>
      <c r="AC59" s="118">
        <f t="shared" si="244"/>
        <v>0</v>
      </c>
      <c r="AD59" s="114">
        <f t="shared" si="245"/>
        <v>0</v>
      </c>
      <c r="AE59" s="117">
        <f t="shared" si="246"/>
        <v>0</v>
      </c>
      <c r="AF59" s="117">
        <f t="shared" si="247"/>
        <v>0</v>
      </c>
      <c r="AG59" s="117">
        <f t="shared" si="248"/>
        <v>0</v>
      </c>
      <c r="AH59" s="117">
        <f t="shared" si="249"/>
        <v>0</v>
      </c>
      <c r="AI59" s="117">
        <f t="shared" si="250"/>
        <v>0</v>
      </c>
      <c r="AJ59" s="118">
        <f t="shared" si="251"/>
        <v>0</v>
      </c>
      <c r="AK59" s="114">
        <f t="shared" si="252"/>
        <v>0</v>
      </c>
      <c r="AL59" s="117">
        <f t="shared" si="253"/>
        <v>0</v>
      </c>
      <c r="AM59" s="117">
        <f t="shared" si="254"/>
        <v>0</v>
      </c>
      <c r="AN59" s="117">
        <f t="shared" si="255"/>
        <v>0</v>
      </c>
      <c r="AO59" s="117">
        <f t="shared" si="256"/>
        <v>0</v>
      </c>
      <c r="AP59" s="117">
        <f t="shared" si="257"/>
        <v>0</v>
      </c>
      <c r="AQ59" s="118">
        <f t="shared" si="258"/>
        <v>0</v>
      </c>
      <c r="AR59" s="115">
        <f t="shared" si="259"/>
        <v>0</v>
      </c>
      <c r="AS59" s="115">
        <f t="shared" si="260"/>
        <v>0</v>
      </c>
      <c r="AT59" s="115">
        <f t="shared" si="261"/>
        <v>0</v>
      </c>
      <c r="AU59" s="115">
        <f t="shared" si="262"/>
        <v>0</v>
      </c>
      <c r="AV59" s="115">
        <f t="shared" si="263"/>
        <v>0</v>
      </c>
      <c r="AW59" s="115">
        <f t="shared" si="264"/>
        <v>0</v>
      </c>
      <c r="AX59" s="115">
        <f t="shared" si="265"/>
        <v>0</v>
      </c>
      <c r="AY59" s="40"/>
    </row>
    <row r="60" spans="1:51" s="26" customFormat="1" ht="27.6" customHeight="1" outlineLevel="1" x14ac:dyDescent="0.3">
      <c r="A60" s="13"/>
      <c r="B60" s="13"/>
      <c r="C60" s="13"/>
      <c r="D60" s="69">
        <f t="shared" si="230"/>
        <v>12</v>
      </c>
      <c r="E60" s="70" t="s">
        <v>94</v>
      </c>
      <c r="F60" s="49">
        <v>0</v>
      </c>
      <c r="G60" s="95" t="str">
        <f t="shared" si="190"/>
        <v>YES</v>
      </c>
      <c r="H60" s="96">
        <v>43620</v>
      </c>
      <c r="I60" s="96">
        <v>43620</v>
      </c>
      <c r="J60" s="96">
        <f t="shared" si="193"/>
        <v>43620</v>
      </c>
      <c r="K60" s="35">
        <f t="shared" si="194"/>
        <v>43620</v>
      </c>
      <c r="L60" s="103">
        <v>1</v>
      </c>
      <c r="M60" s="103">
        <v>1</v>
      </c>
      <c r="N60" s="103">
        <v>2</v>
      </c>
      <c r="O60" s="103">
        <v>2</v>
      </c>
      <c r="P60" s="114">
        <f t="shared" ref="P60:P63" si="266">+IF(AND(P$16&gt;=$I60,P$16&lt;=$K60),"",0)</f>
        <v>0</v>
      </c>
      <c r="Q60" s="115">
        <f t="shared" ref="Q60:Q63" si="267">+IF(AND(Q$16&gt;=$I60,Q$16&lt;=$K60),"",0)</f>
        <v>0</v>
      </c>
      <c r="R60" s="115">
        <f t="shared" ref="R60:R63" si="268">+IF(AND(R$16&gt;=$I60,R$16&lt;=$K60),"",0)</f>
        <v>0</v>
      </c>
      <c r="S60" s="115">
        <f t="shared" ref="S60:S63" si="269">+IF(AND(S$16&gt;=$I60,S$16&lt;=$K60),"",0)</f>
        <v>0</v>
      </c>
      <c r="T60" s="115">
        <f t="shared" ref="T60:T63" si="270">+IF(AND(T$16&gt;=$I60,T$16&lt;=$K60),"",0)</f>
        <v>0</v>
      </c>
      <c r="U60" s="115">
        <f t="shared" ref="U60:U63" si="271">+IF(AND(U$16&gt;=$I60,U$16&lt;=$K60),"",0)</f>
        <v>0</v>
      </c>
      <c r="V60" s="116">
        <f t="shared" ref="V60:V63" si="272">+IF(AND(V$16&gt;=$I60,V$16&lt;=$K60),"",0)</f>
        <v>0</v>
      </c>
      <c r="W60" s="114">
        <f t="shared" ref="W60:W63" si="273">+IF(AND(W$16&gt;=$I60,W$16&lt;=$K60),"",0)</f>
        <v>0</v>
      </c>
      <c r="X60" s="117">
        <f t="shared" ref="X60:X63" si="274">+IF(AND(X$16&gt;=$I60,X$16&lt;=$K60),"",0)</f>
        <v>0</v>
      </c>
      <c r="Y60" s="117">
        <f t="shared" ref="Y60:Y63" si="275">+IF(AND(Y$16&gt;=$I60,Y$16&lt;=$K60),"",0)</f>
        <v>0</v>
      </c>
      <c r="Z60" s="117">
        <f t="shared" ref="Z60:Z63" si="276">+IF(AND(Z$16&gt;=$I60,Z$16&lt;=$K60),"",0)</f>
        <v>0</v>
      </c>
      <c r="AA60" s="117">
        <f t="shared" ref="AA60:AA63" si="277">+IF(AND(AA$16&gt;=$I60,AA$16&lt;=$K60),"",0)</f>
        <v>0</v>
      </c>
      <c r="AB60" s="117">
        <f t="shared" ref="AB60:AB63" si="278">+IF(AND(AB$16&gt;=$I60,AB$16&lt;=$K60),"",0)</f>
        <v>0</v>
      </c>
      <c r="AC60" s="118">
        <f t="shared" ref="AC60:AC63" si="279">+IF(AND(AC$16&gt;=$I60,AC$16&lt;=$K60),"",0)</f>
        <v>0</v>
      </c>
      <c r="AD60" s="114">
        <f t="shared" ref="AD60:AD63" si="280">+IF(AND(AD$16&gt;=$I60,AD$16&lt;=$K60),"",0)</f>
        <v>0</v>
      </c>
      <c r="AE60" s="117">
        <f t="shared" ref="AE60:AE63" si="281">+IF(AND(AE$16&gt;=$I60,AE$16&lt;=$K60),"",0)</f>
        <v>0</v>
      </c>
      <c r="AF60" s="117">
        <f t="shared" ref="AF60:AF63" si="282">+IF(AND(AF$16&gt;=$I60,AF$16&lt;=$K60),"",0)</f>
        <v>0</v>
      </c>
      <c r="AG60" s="117">
        <f t="shared" ref="AG60:AG63" si="283">+IF(AND(AG$16&gt;=$I60,AG$16&lt;=$K60),"",0)</f>
        <v>0</v>
      </c>
      <c r="AH60" s="117">
        <f t="shared" ref="AH60:AH63" si="284">+IF(AND(AH$16&gt;=$I60,AH$16&lt;=$K60),"",0)</f>
        <v>0</v>
      </c>
      <c r="AI60" s="117">
        <f t="shared" ref="AI60:AI63" si="285">+IF(AND(AI$16&gt;=$I60,AI$16&lt;=$K60),"",0)</f>
        <v>0</v>
      </c>
      <c r="AJ60" s="118">
        <f t="shared" ref="AJ60:AJ63" si="286">+IF(AND(AJ$16&gt;=$I60,AJ$16&lt;=$K60),"",0)</f>
        <v>0</v>
      </c>
      <c r="AK60" s="114">
        <f t="shared" ref="AK60:AK63" si="287">+IF(AND(AK$16&gt;=$I60,AK$16&lt;=$K60),"",0)</f>
        <v>0</v>
      </c>
      <c r="AL60" s="117">
        <f t="shared" ref="AL60:AL63" si="288">+IF(AND(AL$16&gt;=$I60,AL$16&lt;=$K60),"",0)</f>
        <v>0</v>
      </c>
      <c r="AM60" s="117">
        <f t="shared" ref="AM60:AM63" si="289">+IF(AND(AM$16&gt;=$I60,AM$16&lt;=$K60),"",0)</f>
        <v>0</v>
      </c>
      <c r="AN60" s="117">
        <f t="shared" ref="AN60:AN63" si="290">+IF(AND(AN$16&gt;=$I60,AN$16&lt;=$K60),"",0)</f>
        <v>0</v>
      </c>
      <c r="AO60" s="117">
        <f t="shared" ref="AO60:AO63" si="291">+IF(AND(AO$16&gt;=$I60,AO$16&lt;=$K60),"",0)</f>
        <v>0</v>
      </c>
      <c r="AP60" s="117">
        <f t="shared" ref="AP60:AP63" si="292">+IF(AND(AP$16&gt;=$I60,AP$16&lt;=$K60),"",0)</f>
        <v>0</v>
      </c>
      <c r="AQ60" s="118">
        <f t="shared" ref="AQ60:AQ63" si="293">+IF(AND(AQ$16&gt;=$I60,AQ$16&lt;=$K60),"",0)</f>
        <v>0</v>
      </c>
      <c r="AR60" s="115">
        <f t="shared" ref="AR60:AR63" si="294">+IF(AND(AR$16&gt;=$I60,AR$16&lt;=$K60),"",0)</f>
        <v>0</v>
      </c>
      <c r="AS60" s="115">
        <f t="shared" ref="AS60:AS63" si="295">+IF(AND(AS$16&gt;=$I60,AS$16&lt;=$K60),"",0)</f>
        <v>0</v>
      </c>
      <c r="AT60" s="115">
        <f t="shared" ref="AT60:AT63" si="296">+IF(AND(AT$16&gt;=$I60,AT$16&lt;=$K60),"",0)</f>
        <v>0</v>
      </c>
      <c r="AU60" s="115">
        <f t="shared" ref="AU60:AU63" si="297">+IF(AND(AU$16&gt;=$I60,AU$16&lt;=$K60),"",0)</f>
        <v>0</v>
      </c>
      <c r="AV60" s="115">
        <f t="shared" ref="AV60:AV63" si="298">+IF(AND(AV$16&gt;=$I60,AV$16&lt;=$K60),"",0)</f>
        <v>0</v>
      </c>
      <c r="AW60" s="115">
        <f t="shared" ref="AW60:AW63" si="299">+IF(AND(AW$16&gt;=$I60,AW$16&lt;=$K60),"",0)</f>
        <v>0</v>
      </c>
      <c r="AX60" s="115">
        <f t="shared" ref="AX60:AX63" si="300">+IF(AND(AX$16&gt;=$I60,AX$16&lt;=$K60),"",0)</f>
        <v>0</v>
      </c>
      <c r="AY60" s="40"/>
    </row>
    <row r="61" spans="1:51" s="26" customFormat="1" ht="27.6" customHeight="1" outlineLevel="1" x14ac:dyDescent="0.3">
      <c r="A61" s="13"/>
      <c r="B61" s="13"/>
      <c r="C61" s="13"/>
      <c r="D61" s="69">
        <f t="shared" si="230"/>
        <v>13</v>
      </c>
      <c r="E61" s="70" t="s">
        <v>85</v>
      </c>
      <c r="F61" s="49">
        <v>0</v>
      </c>
      <c r="G61" s="95" t="str">
        <f t="shared" si="190"/>
        <v>YES</v>
      </c>
      <c r="H61" s="96">
        <v>43692</v>
      </c>
      <c r="I61" s="96">
        <v>43692</v>
      </c>
      <c r="J61" s="96">
        <f t="shared" si="193"/>
        <v>43694</v>
      </c>
      <c r="K61" s="35">
        <f t="shared" si="194"/>
        <v>43694</v>
      </c>
      <c r="L61" s="103">
        <v>3</v>
      </c>
      <c r="M61" s="103">
        <v>3</v>
      </c>
      <c r="N61" s="103">
        <v>4</v>
      </c>
      <c r="O61" s="103">
        <v>4</v>
      </c>
      <c r="P61" s="114">
        <f t="shared" si="266"/>
        <v>0</v>
      </c>
      <c r="Q61" s="115">
        <f t="shared" si="267"/>
        <v>0</v>
      </c>
      <c r="R61" s="115">
        <f t="shared" si="268"/>
        <v>0</v>
      </c>
      <c r="S61" s="115">
        <f t="shared" si="269"/>
        <v>0</v>
      </c>
      <c r="T61" s="115">
        <f t="shared" si="270"/>
        <v>0</v>
      </c>
      <c r="U61" s="115">
        <f t="shared" si="271"/>
        <v>0</v>
      </c>
      <c r="V61" s="116">
        <f t="shared" si="272"/>
        <v>0</v>
      </c>
      <c r="W61" s="114">
        <f t="shared" si="273"/>
        <v>0</v>
      </c>
      <c r="X61" s="117">
        <f t="shared" si="274"/>
        <v>0</v>
      </c>
      <c r="Y61" s="117">
        <f t="shared" si="275"/>
        <v>0</v>
      </c>
      <c r="Z61" s="117">
        <f t="shared" si="276"/>
        <v>0</v>
      </c>
      <c r="AA61" s="117">
        <f t="shared" si="277"/>
        <v>0</v>
      </c>
      <c r="AB61" s="117">
        <f t="shared" si="278"/>
        <v>0</v>
      </c>
      <c r="AC61" s="118">
        <f t="shared" si="279"/>
        <v>0</v>
      </c>
      <c r="AD61" s="114" t="str">
        <f t="shared" si="280"/>
        <v/>
      </c>
      <c r="AE61" s="117" t="str">
        <f t="shared" si="281"/>
        <v/>
      </c>
      <c r="AF61" s="117" t="str">
        <f t="shared" si="282"/>
        <v/>
      </c>
      <c r="AG61" s="117">
        <f t="shared" si="283"/>
        <v>0</v>
      </c>
      <c r="AH61" s="117">
        <f t="shared" si="284"/>
        <v>0</v>
      </c>
      <c r="AI61" s="117">
        <f t="shared" si="285"/>
        <v>0</v>
      </c>
      <c r="AJ61" s="118">
        <f t="shared" si="286"/>
        <v>0</v>
      </c>
      <c r="AK61" s="114">
        <f t="shared" si="287"/>
        <v>0</v>
      </c>
      <c r="AL61" s="117">
        <f t="shared" si="288"/>
        <v>0</v>
      </c>
      <c r="AM61" s="117">
        <f t="shared" si="289"/>
        <v>0</v>
      </c>
      <c r="AN61" s="117">
        <f t="shared" si="290"/>
        <v>0</v>
      </c>
      <c r="AO61" s="117">
        <f t="shared" si="291"/>
        <v>0</v>
      </c>
      <c r="AP61" s="117">
        <f t="shared" si="292"/>
        <v>0</v>
      </c>
      <c r="AQ61" s="118">
        <f t="shared" si="293"/>
        <v>0</v>
      </c>
      <c r="AR61" s="115">
        <f t="shared" si="294"/>
        <v>0</v>
      </c>
      <c r="AS61" s="115">
        <f t="shared" si="295"/>
        <v>0</v>
      </c>
      <c r="AT61" s="115">
        <f t="shared" si="296"/>
        <v>0</v>
      </c>
      <c r="AU61" s="115">
        <f t="shared" si="297"/>
        <v>0</v>
      </c>
      <c r="AV61" s="115">
        <f t="shared" si="298"/>
        <v>0</v>
      </c>
      <c r="AW61" s="115">
        <f t="shared" si="299"/>
        <v>0</v>
      </c>
      <c r="AX61" s="115">
        <f t="shared" si="300"/>
        <v>0</v>
      </c>
      <c r="AY61" s="40"/>
    </row>
    <row r="62" spans="1:51" s="26" customFormat="1" ht="27.6" customHeight="1" outlineLevel="1" x14ac:dyDescent="0.3">
      <c r="A62" s="13"/>
      <c r="B62" s="13"/>
      <c r="C62" s="13"/>
      <c r="D62" s="69">
        <f t="shared" si="230"/>
        <v>14</v>
      </c>
      <c r="E62" s="70" t="s">
        <v>95</v>
      </c>
      <c r="F62" s="49">
        <v>0</v>
      </c>
      <c r="G62" s="95" t="str">
        <f t="shared" si="190"/>
        <v>YES</v>
      </c>
      <c r="H62" s="96">
        <v>43696</v>
      </c>
      <c r="I62" s="96">
        <v>43696</v>
      </c>
      <c r="J62" s="96">
        <f t="shared" si="193"/>
        <v>43697</v>
      </c>
      <c r="K62" s="35">
        <f t="shared" si="194"/>
        <v>43697</v>
      </c>
      <c r="L62" s="103">
        <v>2</v>
      </c>
      <c r="M62" s="103">
        <v>2</v>
      </c>
      <c r="N62" s="103">
        <v>4</v>
      </c>
      <c r="O62" s="103">
        <v>4</v>
      </c>
      <c r="P62" s="114">
        <f t="shared" si="266"/>
        <v>0</v>
      </c>
      <c r="Q62" s="115">
        <f t="shared" si="267"/>
        <v>0</v>
      </c>
      <c r="R62" s="115">
        <f t="shared" si="268"/>
        <v>0</v>
      </c>
      <c r="S62" s="115">
        <f t="shared" si="269"/>
        <v>0</v>
      </c>
      <c r="T62" s="115">
        <f t="shared" si="270"/>
        <v>0</v>
      </c>
      <c r="U62" s="115">
        <f t="shared" si="271"/>
        <v>0</v>
      </c>
      <c r="V62" s="116">
        <f t="shared" si="272"/>
        <v>0</v>
      </c>
      <c r="W62" s="114">
        <f t="shared" si="273"/>
        <v>0</v>
      </c>
      <c r="X62" s="117">
        <f t="shared" si="274"/>
        <v>0</v>
      </c>
      <c r="Y62" s="117">
        <f t="shared" si="275"/>
        <v>0</v>
      </c>
      <c r="Z62" s="117">
        <f t="shared" si="276"/>
        <v>0</v>
      </c>
      <c r="AA62" s="117">
        <f t="shared" si="277"/>
        <v>0</v>
      </c>
      <c r="AB62" s="117">
        <f t="shared" si="278"/>
        <v>0</v>
      </c>
      <c r="AC62" s="118">
        <f t="shared" si="279"/>
        <v>0</v>
      </c>
      <c r="AD62" s="114">
        <f t="shared" si="280"/>
        <v>0</v>
      </c>
      <c r="AE62" s="117">
        <f t="shared" si="281"/>
        <v>0</v>
      </c>
      <c r="AF62" s="117">
        <f t="shared" si="282"/>
        <v>0</v>
      </c>
      <c r="AG62" s="117">
        <f t="shared" si="283"/>
        <v>0</v>
      </c>
      <c r="AH62" s="117" t="str">
        <f t="shared" si="284"/>
        <v/>
      </c>
      <c r="AI62" s="117" t="str">
        <f t="shared" si="285"/>
        <v/>
      </c>
      <c r="AJ62" s="118">
        <f t="shared" si="286"/>
        <v>0</v>
      </c>
      <c r="AK62" s="114">
        <f t="shared" si="287"/>
        <v>0</v>
      </c>
      <c r="AL62" s="117">
        <f t="shared" si="288"/>
        <v>0</v>
      </c>
      <c r="AM62" s="117">
        <f t="shared" si="289"/>
        <v>0</v>
      </c>
      <c r="AN62" s="117">
        <f t="shared" si="290"/>
        <v>0</v>
      </c>
      <c r="AO62" s="117">
        <f t="shared" si="291"/>
        <v>0</v>
      </c>
      <c r="AP62" s="117">
        <f t="shared" si="292"/>
        <v>0</v>
      </c>
      <c r="AQ62" s="118">
        <f t="shared" si="293"/>
        <v>0</v>
      </c>
      <c r="AR62" s="115">
        <f t="shared" si="294"/>
        <v>0</v>
      </c>
      <c r="AS62" s="115">
        <f t="shared" si="295"/>
        <v>0</v>
      </c>
      <c r="AT62" s="115">
        <f t="shared" si="296"/>
        <v>0</v>
      </c>
      <c r="AU62" s="115">
        <f t="shared" si="297"/>
        <v>0</v>
      </c>
      <c r="AV62" s="115">
        <f t="shared" si="298"/>
        <v>0</v>
      </c>
      <c r="AW62" s="115">
        <f t="shared" si="299"/>
        <v>0</v>
      </c>
      <c r="AX62" s="115">
        <f t="shared" si="300"/>
        <v>0</v>
      </c>
      <c r="AY62" s="40"/>
    </row>
    <row r="63" spans="1:51" s="26" customFormat="1" ht="27.6" customHeight="1" outlineLevel="1" x14ac:dyDescent="0.3">
      <c r="A63" s="13"/>
      <c r="B63" s="13"/>
      <c r="C63" s="13"/>
      <c r="D63" s="69">
        <f t="shared" si="230"/>
        <v>15</v>
      </c>
      <c r="E63" s="70" t="s">
        <v>86</v>
      </c>
      <c r="F63" s="49">
        <v>0</v>
      </c>
      <c r="G63" s="95" t="str">
        <f t="shared" si="190"/>
        <v>YES</v>
      </c>
      <c r="H63" s="96">
        <v>43692</v>
      </c>
      <c r="I63" s="96">
        <v>43692</v>
      </c>
      <c r="J63" s="96">
        <f t="shared" si="193"/>
        <v>43692</v>
      </c>
      <c r="K63" s="35">
        <f t="shared" si="194"/>
        <v>43692</v>
      </c>
      <c r="L63" s="103">
        <v>1</v>
      </c>
      <c r="M63" s="103">
        <v>1</v>
      </c>
      <c r="N63" s="103">
        <v>2</v>
      </c>
      <c r="O63" s="103">
        <v>2</v>
      </c>
      <c r="P63" s="114">
        <f t="shared" si="266"/>
        <v>0</v>
      </c>
      <c r="Q63" s="115">
        <f t="shared" si="267"/>
        <v>0</v>
      </c>
      <c r="R63" s="115">
        <f t="shared" si="268"/>
        <v>0</v>
      </c>
      <c r="S63" s="115">
        <f t="shared" si="269"/>
        <v>0</v>
      </c>
      <c r="T63" s="115">
        <f t="shared" si="270"/>
        <v>0</v>
      </c>
      <c r="U63" s="115">
        <f t="shared" si="271"/>
        <v>0</v>
      </c>
      <c r="V63" s="116">
        <f t="shared" si="272"/>
        <v>0</v>
      </c>
      <c r="W63" s="114">
        <f t="shared" si="273"/>
        <v>0</v>
      </c>
      <c r="X63" s="117">
        <f t="shared" si="274"/>
        <v>0</v>
      </c>
      <c r="Y63" s="117">
        <f t="shared" si="275"/>
        <v>0</v>
      </c>
      <c r="Z63" s="117">
        <f t="shared" si="276"/>
        <v>0</v>
      </c>
      <c r="AA63" s="117">
        <f t="shared" si="277"/>
        <v>0</v>
      </c>
      <c r="AB63" s="117">
        <f t="shared" si="278"/>
        <v>0</v>
      </c>
      <c r="AC63" s="118">
        <f t="shared" si="279"/>
        <v>0</v>
      </c>
      <c r="AD63" s="114" t="str">
        <f t="shared" si="280"/>
        <v/>
      </c>
      <c r="AE63" s="117">
        <f t="shared" si="281"/>
        <v>0</v>
      </c>
      <c r="AF63" s="117">
        <f t="shared" si="282"/>
        <v>0</v>
      </c>
      <c r="AG63" s="117">
        <f t="shared" si="283"/>
        <v>0</v>
      </c>
      <c r="AH63" s="117">
        <f t="shared" si="284"/>
        <v>0</v>
      </c>
      <c r="AI63" s="117">
        <f t="shared" si="285"/>
        <v>0</v>
      </c>
      <c r="AJ63" s="118">
        <f t="shared" si="286"/>
        <v>0</v>
      </c>
      <c r="AK63" s="114">
        <f t="shared" si="287"/>
        <v>0</v>
      </c>
      <c r="AL63" s="117">
        <f t="shared" si="288"/>
        <v>0</v>
      </c>
      <c r="AM63" s="117">
        <f t="shared" si="289"/>
        <v>0</v>
      </c>
      <c r="AN63" s="117">
        <f t="shared" si="290"/>
        <v>0</v>
      </c>
      <c r="AO63" s="117">
        <f t="shared" si="291"/>
        <v>0</v>
      </c>
      <c r="AP63" s="117">
        <f t="shared" si="292"/>
        <v>0</v>
      </c>
      <c r="AQ63" s="118">
        <f t="shared" si="293"/>
        <v>0</v>
      </c>
      <c r="AR63" s="115">
        <f t="shared" si="294"/>
        <v>0</v>
      </c>
      <c r="AS63" s="115">
        <f t="shared" si="295"/>
        <v>0</v>
      </c>
      <c r="AT63" s="115">
        <f t="shared" si="296"/>
        <v>0</v>
      </c>
      <c r="AU63" s="115">
        <f t="shared" si="297"/>
        <v>0</v>
      </c>
      <c r="AV63" s="115">
        <f t="shared" si="298"/>
        <v>0</v>
      </c>
      <c r="AW63" s="115">
        <f t="shared" si="299"/>
        <v>0</v>
      </c>
      <c r="AX63" s="115">
        <f t="shared" si="300"/>
        <v>0</v>
      </c>
      <c r="AY63" s="40"/>
    </row>
    <row r="64" spans="1:51" s="26" customFormat="1" ht="27.6" customHeight="1" outlineLevel="1" x14ac:dyDescent="0.3">
      <c r="A64" s="13"/>
      <c r="B64" s="13"/>
      <c r="C64" s="13"/>
      <c r="D64" s="69">
        <f t="shared" si="230"/>
        <v>16</v>
      </c>
      <c r="E64" s="70" t="s">
        <v>96</v>
      </c>
      <c r="F64" s="49">
        <v>0</v>
      </c>
      <c r="G64" s="95" t="str">
        <f t="shared" si="190"/>
        <v>YES</v>
      </c>
      <c r="H64" s="96">
        <v>43694</v>
      </c>
      <c r="I64" s="96">
        <v>43694</v>
      </c>
      <c r="J64" s="96">
        <f t="shared" si="193"/>
        <v>43697</v>
      </c>
      <c r="K64" s="35">
        <f t="shared" si="194"/>
        <v>43697</v>
      </c>
      <c r="L64" s="103">
        <v>4</v>
      </c>
      <c r="M64" s="103">
        <v>4</v>
      </c>
      <c r="N64" s="103">
        <v>4</v>
      </c>
      <c r="O64" s="103">
        <v>4</v>
      </c>
      <c r="P64" s="114">
        <f t="shared" ref="P64:P67" si="301">+IF(AND(P$16&gt;=$I64,P$16&lt;=$K64),"",0)</f>
        <v>0</v>
      </c>
      <c r="Q64" s="115">
        <f t="shared" ref="Q64:Q67" si="302">+IF(AND(Q$16&gt;=$I64,Q$16&lt;=$K64),"",0)</f>
        <v>0</v>
      </c>
      <c r="R64" s="115">
        <f t="shared" ref="R64:R67" si="303">+IF(AND(R$16&gt;=$I64,R$16&lt;=$K64),"",0)</f>
        <v>0</v>
      </c>
      <c r="S64" s="115">
        <f t="shared" ref="S64:S67" si="304">+IF(AND(S$16&gt;=$I64,S$16&lt;=$K64),"",0)</f>
        <v>0</v>
      </c>
      <c r="T64" s="115">
        <f t="shared" ref="T64:T67" si="305">+IF(AND(T$16&gt;=$I64,T$16&lt;=$K64),"",0)</f>
        <v>0</v>
      </c>
      <c r="U64" s="115">
        <f t="shared" ref="U64:U67" si="306">+IF(AND(U$16&gt;=$I64,U$16&lt;=$K64),"",0)</f>
        <v>0</v>
      </c>
      <c r="V64" s="116">
        <f t="shared" ref="V64:V67" si="307">+IF(AND(V$16&gt;=$I64,V$16&lt;=$K64),"",0)</f>
        <v>0</v>
      </c>
      <c r="W64" s="114">
        <f t="shared" ref="W64:W67" si="308">+IF(AND(W$16&gt;=$I64,W$16&lt;=$K64),"",0)</f>
        <v>0</v>
      </c>
      <c r="X64" s="117">
        <f t="shared" ref="X64:X67" si="309">+IF(AND(X$16&gt;=$I64,X$16&lt;=$K64),"",0)</f>
        <v>0</v>
      </c>
      <c r="Y64" s="117">
        <f t="shared" ref="Y64:Y67" si="310">+IF(AND(Y$16&gt;=$I64,Y$16&lt;=$K64),"",0)</f>
        <v>0</v>
      </c>
      <c r="Z64" s="117">
        <f t="shared" ref="Z64:Z67" si="311">+IF(AND(Z$16&gt;=$I64,Z$16&lt;=$K64),"",0)</f>
        <v>0</v>
      </c>
      <c r="AA64" s="117">
        <f t="shared" ref="AA64:AA67" si="312">+IF(AND(AA$16&gt;=$I64,AA$16&lt;=$K64),"",0)</f>
        <v>0</v>
      </c>
      <c r="AB64" s="117">
        <f t="shared" ref="AB64:AB67" si="313">+IF(AND(AB$16&gt;=$I64,AB$16&lt;=$K64),"",0)</f>
        <v>0</v>
      </c>
      <c r="AC64" s="118">
        <f t="shared" ref="AC64:AC67" si="314">+IF(AND(AC$16&gt;=$I64,AC$16&lt;=$K64),"",0)</f>
        <v>0</v>
      </c>
      <c r="AD64" s="114">
        <f t="shared" ref="AD64:AD67" si="315">+IF(AND(AD$16&gt;=$I64,AD$16&lt;=$K64),"",0)</f>
        <v>0</v>
      </c>
      <c r="AE64" s="117">
        <f t="shared" ref="AE64:AE67" si="316">+IF(AND(AE$16&gt;=$I64,AE$16&lt;=$K64),"",0)</f>
        <v>0</v>
      </c>
      <c r="AF64" s="117" t="str">
        <f t="shared" ref="AF64:AF67" si="317">+IF(AND(AF$16&gt;=$I64,AF$16&lt;=$K64),"",0)</f>
        <v/>
      </c>
      <c r="AG64" s="117" t="str">
        <f t="shared" ref="AG64:AG67" si="318">+IF(AND(AG$16&gt;=$I64,AG$16&lt;=$K64),"",0)</f>
        <v/>
      </c>
      <c r="AH64" s="117" t="str">
        <f t="shared" ref="AH64:AH67" si="319">+IF(AND(AH$16&gt;=$I64,AH$16&lt;=$K64),"",0)</f>
        <v/>
      </c>
      <c r="AI64" s="117" t="str">
        <f t="shared" ref="AI64:AI67" si="320">+IF(AND(AI$16&gt;=$I64,AI$16&lt;=$K64),"",0)</f>
        <v/>
      </c>
      <c r="AJ64" s="118">
        <f t="shared" ref="AJ64:AJ67" si="321">+IF(AND(AJ$16&gt;=$I64,AJ$16&lt;=$K64),"",0)</f>
        <v>0</v>
      </c>
      <c r="AK64" s="114">
        <f t="shared" ref="AK64:AK67" si="322">+IF(AND(AK$16&gt;=$I64,AK$16&lt;=$K64),"",0)</f>
        <v>0</v>
      </c>
      <c r="AL64" s="117">
        <f t="shared" ref="AL64:AL67" si="323">+IF(AND(AL$16&gt;=$I64,AL$16&lt;=$K64),"",0)</f>
        <v>0</v>
      </c>
      <c r="AM64" s="117">
        <f t="shared" ref="AM64:AM67" si="324">+IF(AND(AM$16&gt;=$I64,AM$16&lt;=$K64),"",0)</f>
        <v>0</v>
      </c>
      <c r="AN64" s="117">
        <f t="shared" ref="AN64:AN67" si="325">+IF(AND(AN$16&gt;=$I64,AN$16&lt;=$K64),"",0)</f>
        <v>0</v>
      </c>
      <c r="AO64" s="117">
        <f t="shared" ref="AO64:AO67" si="326">+IF(AND(AO$16&gt;=$I64,AO$16&lt;=$K64),"",0)</f>
        <v>0</v>
      </c>
      <c r="AP64" s="117">
        <f t="shared" ref="AP64:AP67" si="327">+IF(AND(AP$16&gt;=$I64,AP$16&lt;=$K64),"",0)</f>
        <v>0</v>
      </c>
      <c r="AQ64" s="118">
        <f t="shared" ref="AQ64:AQ67" si="328">+IF(AND(AQ$16&gt;=$I64,AQ$16&lt;=$K64),"",0)</f>
        <v>0</v>
      </c>
      <c r="AR64" s="115">
        <f t="shared" ref="AR64:AR67" si="329">+IF(AND(AR$16&gt;=$I64,AR$16&lt;=$K64),"",0)</f>
        <v>0</v>
      </c>
      <c r="AS64" s="115">
        <f t="shared" ref="AS64:AS67" si="330">+IF(AND(AS$16&gt;=$I64,AS$16&lt;=$K64),"",0)</f>
        <v>0</v>
      </c>
      <c r="AT64" s="115">
        <f t="shared" ref="AT64:AT67" si="331">+IF(AND(AT$16&gt;=$I64,AT$16&lt;=$K64),"",0)</f>
        <v>0</v>
      </c>
      <c r="AU64" s="115">
        <f t="shared" ref="AU64:AU67" si="332">+IF(AND(AU$16&gt;=$I64,AU$16&lt;=$K64),"",0)</f>
        <v>0</v>
      </c>
      <c r="AV64" s="115">
        <f t="shared" ref="AV64:AV67" si="333">+IF(AND(AV$16&gt;=$I64,AV$16&lt;=$K64),"",0)</f>
        <v>0</v>
      </c>
      <c r="AW64" s="115">
        <f t="shared" ref="AW64:AW67" si="334">+IF(AND(AW$16&gt;=$I64,AW$16&lt;=$K64),"",0)</f>
        <v>0</v>
      </c>
      <c r="AX64" s="115">
        <f t="shared" ref="AX64:AX67" si="335">+IF(AND(AX$16&gt;=$I64,AX$16&lt;=$K64),"",0)</f>
        <v>0</v>
      </c>
      <c r="AY64" s="40"/>
    </row>
    <row r="65" spans="1:51" s="26" customFormat="1" ht="27.6" customHeight="1" outlineLevel="1" x14ac:dyDescent="0.3">
      <c r="A65" s="13"/>
      <c r="B65" s="13"/>
      <c r="C65" s="13"/>
      <c r="D65" s="69">
        <f t="shared" si="230"/>
        <v>17</v>
      </c>
      <c r="E65" s="70" t="s">
        <v>87</v>
      </c>
      <c r="F65" s="49">
        <v>0</v>
      </c>
      <c r="G65" s="95" t="str">
        <f t="shared" si="190"/>
        <v>YES</v>
      </c>
      <c r="H65" s="96">
        <v>43699</v>
      </c>
      <c r="I65" s="96">
        <v>43699</v>
      </c>
      <c r="J65" s="96">
        <f t="shared" si="193"/>
        <v>43699</v>
      </c>
      <c r="K65" s="35">
        <f t="shared" si="194"/>
        <v>43699</v>
      </c>
      <c r="L65" s="103">
        <v>1</v>
      </c>
      <c r="M65" s="103">
        <v>1</v>
      </c>
      <c r="N65" s="103">
        <v>1</v>
      </c>
      <c r="O65" s="103">
        <v>1</v>
      </c>
      <c r="P65" s="114">
        <f t="shared" si="301"/>
        <v>0</v>
      </c>
      <c r="Q65" s="115">
        <f t="shared" si="302"/>
        <v>0</v>
      </c>
      <c r="R65" s="115">
        <f t="shared" si="303"/>
        <v>0</v>
      </c>
      <c r="S65" s="115">
        <f t="shared" si="304"/>
        <v>0</v>
      </c>
      <c r="T65" s="115">
        <f t="shared" si="305"/>
        <v>0</v>
      </c>
      <c r="U65" s="115">
        <f t="shared" si="306"/>
        <v>0</v>
      </c>
      <c r="V65" s="116">
        <f t="shared" si="307"/>
        <v>0</v>
      </c>
      <c r="W65" s="114">
        <f t="shared" si="308"/>
        <v>0</v>
      </c>
      <c r="X65" s="117">
        <f t="shared" si="309"/>
        <v>0</v>
      </c>
      <c r="Y65" s="117">
        <f t="shared" si="310"/>
        <v>0</v>
      </c>
      <c r="Z65" s="117">
        <f t="shared" si="311"/>
        <v>0</v>
      </c>
      <c r="AA65" s="117">
        <f t="shared" si="312"/>
        <v>0</v>
      </c>
      <c r="AB65" s="117">
        <f t="shared" si="313"/>
        <v>0</v>
      </c>
      <c r="AC65" s="118">
        <f t="shared" si="314"/>
        <v>0</v>
      </c>
      <c r="AD65" s="114">
        <f t="shared" si="315"/>
        <v>0</v>
      </c>
      <c r="AE65" s="117">
        <f t="shared" si="316"/>
        <v>0</v>
      </c>
      <c r="AF65" s="117">
        <f t="shared" si="317"/>
        <v>0</v>
      </c>
      <c r="AG65" s="117">
        <f t="shared" si="318"/>
        <v>0</v>
      </c>
      <c r="AH65" s="117">
        <f t="shared" si="319"/>
        <v>0</v>
      </c>
      <c r="AI65" s="117">
        <f t="shared" si="320"/>
        <v>0</v>
      </c>
      <c r="AJ65" s="118">
        <f t="shared" si="321"/>
        <v>0</v>
      </c>
      <c r="AK65" s="114" t="str">
        <f t="shared" si="322"/>
        <v/>
      </c>
      <c r="AL65" s="117">
        <f t="shared" si="323"/>
        <v>0</v>
      </c>
      <c r="AM65" s="117">
        <f t="shared" si="324"/>
        <v>0</v>
      </c>
      <c r="AN65" s="117">
        <f t="shared" si="325"/>
        <v>0</v>
      </c>
      <c r="AO65" s="117">
        <f t="shared" si="326"/>
        <v>0</v>
      </c>
      <c r="AP65" s="117">
        <f t="shared" si="327"/>
        <v>0</v>
      </c>
      <c r="AQ65" s="118">
        <f t="shared" si="328"/>
        <v>0</v>
      </c>
      <c r="AR65" s="115">
        <f t="shared" si="329"/>
        <v>0</v>
      </c>
      <c r="AS65" s="115">
        <f t="shared" si="330"/>
        <v>0</v>
      </c>
      <c r="AT65" s="115">
        <f t="shared" si="331"/>
        <v>0</v>
      </c>
      <c r="AU65" s="115">
        <f t="shared" si="332"/>
        <v>0</v>
      </c>
      <c r="AV65" s="115">
        <f t="shared" si="333"/>
        <v>0</v>
      </c>
      <c r="AW65" s="115">
        <f t="shared" si="334"/>
        <v>0</v>
      </c>
      <c r="AX65" s="115">
        <f t="shared" si="335"/>
        <v>0</v>
      </c>
      <c r="AY65" s="40"/>
    </row>
    <row r="66" spans="1:51" s="26" customFormat="1" ht="27.6" customHeight="1" outlineLevel="1" x14ac:dyDescent="0.3">
      <c r="A66" s="13"/>
      <c r="B66" s="13"/>
      <c r="C66" s="13"/>
      <c r="D66" s="69">
        <f t="shared" si="230"/>
        <v>18</v>
      </c>
      <c r="E66" s="70" t="s">
        <v>97</v>
      </c>
      <c r="F66" s="49">
        <v>0</v>
      </c>
      <c r="G66" s="95" t="str">
        <f t="shared" si="190"/>
        <v>YES</v>
      </c>
      <c r="H66" s="96">
        <v>43701</v>
      </c>
      <c r="I66" s="96">
        <v>43701</v>
      </c>
      <c r="J66" s="96">
        <f t="shared" si="193"/>
        <v>43702</v>
      </c>
      <c r="K66" s="35">
        <f t="shared" si="194"/>
        <v>43702</v>
      </c>
      <c r="L66" s="103">
        <v>2</v>
      </c>
      <c r="M66" s="103">
        <v>2</v>
      </c>
      <c r="N66" s="103">
        <v>2</v>
      </c>
      <c r="O66" s="103">
        <v>2</v>
      </c>
      <c r="P66" s="114">
        <f t="shared" si="301"/>
        <v>0</v>
      </c>
      <c r="Q66" s="115">
        <f t="shared" si="302"/>
        <v>0</v>
      </c>
      <c r="R66" s="115">
        <f t="shared" si="303"/>
        <v>0</v>
      </c>
      <c r="S66" s="115">
        <f t="shared" si="304"/>
        <v>0</v>
      </c>
      <c r="T66" s="115">
        <f t="shared" si="305"/>
        <v>0</v>
      </c>
      <c r="U66" s="115">
        <f t="shared" si="306"/>
        <v>0</v>
      </c>
      <c r="V66" s="116">
        <f t="shared" si="307"/>
        <v>0</v>
      </c>
      <c r="W66" s="114">
        <f t="shared" si="308"/>
        <v>0</v>
      </c>
      <c r="X66" s="117">
        <f t="shared" si="309"/>
        <v>0</v>
      </c>
      <c r="Y66" s="117">
        <f t="shared" si="310"/>
        <v>0</v>
      </c>
      <c r="Z66" s="117">
        <f t="shared" si="311"/>
        <v>0</v>
      </c>
      <c r="AA66" s="117">
        <f t="shared" si="312"/>
        <v>0</v>
      </c>
      <c r="AB66" s="117">
        <f t="shared" si="313"/>
        <v>0</v>
      </c>
      <c r="AC66" s="118">
        <f t="shared" si="314"/>
        <v>0</v>
      </c>
      <c r="AD66" s="114">
        <f t="shared" si="315"/>
        <v>0</v>
      </c>
      <c r="AE66" s="117">
        <f t="shared" si="316"/>
        <v>0</v>
      </c>
      <c r="AF66" s="117">
        <f t="shared" si="317"/>
        <v>0</v>
      </c>
      <c r="AG66" s="117">
        <f t="shared" si="318"/>
        <v>0</v>
      </c>
      <c r="AH66" s="117">
        <f t="shared" si="319"/>
        <v>0</v>
      </c>
      <c r="AI66" s="117">
        <f t="shared" si="320"/>
        <v>0</v>
      </c>
      <c r="AJ66" s="118">
        <f t="shared" si="321"/>
        <v>0</v>
      </c>
      <c r="AK66" s="114">
        <f t="shared" si="322"/>
        <v>0</v>
      </c>
      <c r="AL66" s="117">
        <f t="shared" si="323"/>
        <v>0</v>
      </c>
      <c r="AM66" s="117" t="str">
        <f t="shared" si="324"/>
        <v/>
      </c>
      <c r="AN66" s="117" t="str">
        <f t="shared" si="325"/>
        <v/>
      </c>
      <c r="AO66" s="117">
        <f t="shared" si="326"/>
        <v>0</v>
      </c>
      <c r="AP66" s="117">
        <f t="shared" si="327"/>
        <v>0</v>
      </c>
      <c r="AQ66" s="118">
        <f t="shared" si="328"/>
        <v>0</v>
      </c>
      <c r="AR66" s="115">
        <f t="shared" si="329"/>
        <v>0</v>
      </c>
      <c r="AS66" s="115">
        <f t="shared" si="330"/>
        <v>0</v>
      </c>
      <c r="AT66" s="115">
        <f t="shared" si="331"/>
        <v>0</v>
      </c>
      <c r="AU66" s="115">
        <f t="shared" si="332"/>
        <v>0</v>
      </c>
      <c r="AV66" s="115">
        <f t="shared" si="333"/>
        <v>0</v>
      </c>
      <c r="AW66" s="115">
        <f t="shared" si="334"/>
        <v>0</v>
      </c>
      <c r="AX66" s="115">
        <f t="shared" si="335"/>
        <v>0</v>
      </c>
      <c r="AY66" s="40"/>
    </row>
    <row r="67" spans="1:51" s="26" customFormat="1" ht="27.6" customHeight="1" outlineLevel="1" x14ac:dyDescent="0.3">
      <c r="A67" s="13"/>
      <c r="B67" s="13"/>
      <c r="C67" s="13"/>
      <c r="D67" s="69">
        <f t="shared" si="230"/>
        <v>19</v>
      </c>
      <c r="E67" s="70" t="s">
        <v>88</v>
      </c>
      <c r="F67" s="49">
        <v>0</v>
      </c>
      <c r="G67" s="95" t="str">
        <f t="shared" si="190"/>
        <v>YES</v>
      </c>
      <c r="H67" s="96">
        <v>43694</v>
      </c>
      <c r="I67" s="96">
        <v>43694</v>
      </c>
      <c r="J67" s="96">
        <f t="shared" si="193"/>
        <v>43694</v>
      </c>
      <c r="K67" s="35">
        <f t="shared" si="194"/>
        <v>43694</v>
      </c>
      <c r="L67" s="103">
        <v>1</v>
      </c>
      <c r="M67" s="103">
        <v>1</v>
      </c>
      <c r="N67" s="103">
        <v>2</v>
      </c>
      <c r="O67" s="103">
        <v>2</v>
      </c>
      <c r="P67" s="114">
        <f t="shared" si="301"/>
        <v>0</v>
      </c>
      <c r="Q67" s="115">
        <f t="shared" si="302"/>
        <v>0</v>
      </c>
      <c r="R67" s="115">
        <f t="shared" si="303"/>
        <v>0</v>
      </c>
      <c r="S67" s="115">
        <f t="shared" si="304"/>
        <v>0</v>
      </c>
      <c r="T67" s="115">
        <f t="shared" si="305"/>
        <v>0</v>
      </c>
      <c r="U67" s="115">
        <f t="shared" si="306"/>
        <v>0</v>
      </c>
      <c r="V67" s="116">
        <f t="shared" si="307"/>
        <v>0</v>
      </c>
      <c r="W67" s="114">
        <f t="shared" si="308"/>
        <v>0</v>
      </c>
      <c r="X67" s="117">
        <f t="shared" si="309"/>
        <v>0</v>
      </c>
      <c r="Y67" s="117">
        <f t="shared" si="310"/>
        <v>0</v>
      </c>
      <c r="Z67" s="117">
        <f t="shared" si="311"/>
        <v>0</v>
      </c>
      <c r="AA67" s="117">
        <f t="shared" si="312"/>
        <v>0</v>
      </c>
      <c r="AB67" s="117">
        <f t="shared" si="313"/>
        <v>0</v>
      </c>
      <c r="AC67" s="118">
        <f t="shared" si="314"/>
        <v>0</v>
      </c>
      <c r="AD67" s="114">
        <f t="shared" si="315"/>
        <v>0</v>
      </c>
      <c r="AE67" s="117">
        <f t="shared" si="316"/>
        <v>0</v>
      </c>
      <c r="AF67" s="117" t="str">
        <f t="shared" si="317"/>
        <v/>
      </c>
      <c r="AG67" s="117">
        <f t="shared" si="318"/>
        <v>0</v>
      </c>
      <c r="AH67" s="117">
        <f t="shared" si="319"/>
        <v>0</v>
      </c>
      <c r="AI67" s="117">
        <f t="shared" si="320"/>
        <v>0</v>
      </c>
      <c r="AJ67" s="118">
        <f t="shared" si="321"/>
        <v>0</v>
      </c>
      <c r="AK67" s="114">
        <f t="shared" si="322"/>
        <v>0</v>
      </c>
      <c r="AL67" s="117">
        <f t="shared" si="323"/>
        <v>0</v>
      </c>
      <c r="AM67" s="117">
        <f t="shared" si="324"/>
        <v>0</v>
      </c>
      <c r="AN67" s="117">
        <f t="shared" si="325"/>
        <v>0</v>
      </c>
      <c r="AO67" s="117">
        <f t="shared" si="326"/>
        <v>0</v>
      </c>
      <c r="AP67" s="117">
        <f t="shared" si="327"/>
        <v>0</v>
      </c>
      <c r="AQ67" s="118">
        <f t="shared" si="328"/>
        <v>0</v>
      </c>
      <c r="AR67" s="115">
        <f t="shared" si="329"/>
        <v>0</v>
      </c>
      <c r="AS67" s="115">
        <f t="shared" si="330"/>
        <v>0</v>
      </c>
      <c r="AT67" s="115">
        <f t="shared" si="331"/>
        <v>0</v>
      </c>
      <c r="AU67" s="115">
        <f t="shared" si="332"/>
        <v>0</v>
      </c>
      <c r="AV67" s="115">
        <f t="shared" si="333"/>
        <v>0</v>
      </c>
      <c r="AW67" s="115">
        <f t="shared" si="334"/>
        <v>0</v>
      </c>
      <c r="AX67" s="115">
        <f t="shared" si="335"/>
        <v>0</v>
      </c>
      <c r="AY67" s="40"/>
    </row>
    <row r="68" spans="1:51" s="26" customFormat="1" ht="27.6" customHeight="1" outlineLevel="1" x14ac:dyDescent="0.3">
      <c r="A68" s="13"/>
      <c r="B68" s="13"/>
      <c r="C68" s="13"/>
      <c r="D68" s="69">
        <f t="shared" si="230"/>
        <v>20</v>
      </c>
      <c r="E68" s="70" t="s">
        <v>98</v>
      </c>
      <c r="F68" s="49">
        <v>0</v>
      </c>
      <c r="G68" s="95" t="str">
        <f t="shared" si="190"/>
        <v>YES</v>
      </c>
      <c r="H68" s="96">
        <v>43699</v>
      </c>
      <c r="I68" s="96">
        <v>43699</v>
      </c>
      <c r="J68" s="96">
        <f t="shared" si="193"/>
        <v>43699</v>
      </c>
      <c r="K68" s="35">
        <f t="shared" si="194"/>
        <v>43699</v>
      </c>
      <c r="L68" s="103">
        <v>1</v>
      </c>
      <c r="M68" s="103">
        <v>1</v>
      </c>
      <c r="N68" s="103">
        <v>2</v>
      </c>
      <c r="O68" s="103">
        <v>2</v>
      </c>
      <c r="P68" s="114">
        <f t="shared" ref="P68:P71" si="336">+IF(AND(P$16&gt;=$I68,P$16&lt;=$K68),"",0)</f>
        <v>0</v>
      </c>
      <c r="Q68" s="115">
        <f t="shared" ref="Q68:Q71" si="337">+IF(AND(Q$16&gt;=$I68,Q$16&lt;=$K68),"",0)</f>
        <v>0</v>
      </c>
      <c r="R68" s="115">
        <f t="shared" ref="R68:R71" si="338">+IF(AND(R$16&gt;=$I68,R$16&lt;=$K68),"",0)</f>
        <v>0</v>
      </c>
      <c r="S68" s="115">
        <f t="shared" ref="S68:S71" si="339">+IF(AND(S$16&gt;=$I68,S$16&lt;=$K68),"",0)</f>
        <v>0</v>
      </c>
      <c r="T68" s="115">
        <f t="shared" ref="T68:T71" si="340">+IF(AND(T$16&gt;=$I68,T$16&lt;=$K68),"",0)</f>
        <v>0</v>
      </c>
      <c r="U68" s="115">
        <f t="shared" ref="U68:U71" si="341">+IF(AND(U$16&gt;=$I68,U$16&lt;=$K68),"",0)</f>
        <v>0</v>
      </c>
      <c r="V68" s="116">
        <f t="shared" ref="V68:V71" si="342">+IF(AND(V$16&gt;=$I68,V$16&lt;=$K68),"",0)</f>
        <v>0</v>
      </c>
      <c r="W68" s="114">
        <f t="shared" ref="W68:W71" si="343">+IF(AND(W$16&gt;=$I68,W$16&lt;=$K68),"",0)</f>
        <v>0</v>
      </c>
      <c r="X68" s="117">
        <f t="shared" ref="X68:X71" si="344">+IF(AND(X$16&gt;=$I68,X$16&lt;=$K68),"",0)</f>
        <v>0</v>
      </c>
      <c r="Y68" s="117">
        <f t="shared" ref="Y68:Y71" si="345">+IF(AND(Y$16&gt;=$I68,Y$16&lt;=$K68),"",0)</f>
        <v>0</v>
      </c>
      <c r="Z68" s="117">
        <f t="shared" ref="Z68:Z71" si="346">+IF(AND(Z$16&gt;=$I68,Z$16&lt;=$K68),"",0)</f>
        <v>0</v>
      </c>
      <c r="AA68" s="117">
        <f t="shared" ref="AA68:AA71" si="347">+IF(AND(AA$16&gt;=$I68,AA$16&lt;=$K68),"",0)</f>
        <v>0</v>
      </c>
      <c r="AB68" s="117">
        <f t="shared" ref="AB68:AB71" si="348">+IF(AND(AB$16&gt;=$I68,AB$16&lt;=$K68),"",0)</f>
        <v>0</v>
      </c>
      <c r="AC68" s="118">
        <f t="shared" ref="AC68:AC71" si="349">+IF(AND(AC$16&gt;=$I68,AC$16&lt;=$K68),"",0)</f>
        <v>0</v>
      </c>
      <c r="AD68" s="114">
        <f t="shared" ref="AD68:AD71" si="350">+IF(AND(AD$16&gt;=$I68,AD$16&lt;=$K68),"",0)</f>
        <v>0</v>
      </c>
      <c r="AE68" s="117">
        <f t="shared" ref="AE68:AE71" si="351">+IF(AND(AE$16&gt;=$I68,AE$16&lt;=$K68),"",0)</f>
        <v>0</v>
      </c>
      <c r="AF68" s="117">
        <f t="shared" ref="AF68:AF71" si="352">+IF(AND(AF$16&gt;=$I68,AF$16&lt;=$K68),"",0)</f>
        <v>0</v>
      </c>
      <c r="AG68" s="117">
        <f t="shared" ref="AG68:AG71" si="353">+IF(AND(AG$16&gt;=$I68,AG$16&lt;=$K68),"",0)</f>
        <v>0</v>
      </c>
      <c r="AH68" s="117">
        <f t="shared" ref="AH68:AH71" si="354">+IF(AND(AH$16&gt;=$I68,AH$16&lt;=$K68),"",0)</f>
        <v>0</v>
      </c>
      <c r="AI68" s="117">
        <f t="shared" ref="AI68:AI71" si="355">+IF(AND(AI$16&gt;=$I68,AI$16&lt;=$K68),"",0)</f>
        <v>0</v>
      </c>
      <c r="AJ68" s="118">
        <f t="shared" ref="AJ68:AJ71" si="356">+IF(AND(AJ$16&gt;=$I68,AJ$16&lt;=$K68),"",0)</f>
        <v>0</v>
      </c>
      <c r="AK68" s="114" t="str">
        <f t="shared" ref="AK68:AK71" si="357">+IF(AND(AK$16&gt;=$I68,AK$16&lt;=$K68),"",0)</f>
        <v/>
      </c>
      <c r="AL68" s="117">
        <f t="shared" ref="AL68:AL71" si="358">+IF(AND(AL$16&gt;=$I68,AL$16&lt;=$K68),"",0)</f>
        <v>0</v>
      </c>
      <c r="AM68" s="117">
        <f t="shared" ref="AM68:AM71" si="359">+IF(AND(AM$16&gt;=$I68,AM$16&lt;=$K68),"",0)</f>
        <v>0</v>
      </c>
      <c r="AN68" s="117">
        <f t="shared" ref="AN68:AN71" si="360">+IF(AND(AN$16&gt;=$I68,AN$16&lt;=$K68),"",0)</f>
        <v>0</v>
      </c>
      <c r="AO68" s="117">
        <f t="shared" ref="AO68:AO71" si="361">+IF(AND(AO$16&gt;=$I68,AO$16&lt;=$K68),"",0)</f>
        <v>0</v>
      </c>
      <c r="AP68" s="117">
        <f t="shared" ref="AP68:AP71" si="362">+IF(AND(AP$16&gt;=$I68,AP$16&lt;=$K68),"",0)</f>
        <v>0</v>
      </c>
      <c r="AQ68" s="118">
        <f t="shared" ref="AQ68:AQ71" si="363">+IF(AND(AQ$16&gt;=$I68,AQ$16&lt;=$K68),"",0)</f>
        <v>0</v>
      </c>
      <c r="AR68" s="115">
        <f t="shared" ref="AR68:AR71" si="364">+IF(AND(AR$16&gt;=$I68,AR$16&lt;=$K68),"",0)</f>
        <v>0</v>
      </c>
      <c r="AS68" s="115">
        <f t="shared" ref="AS68:AS71" si="365">+IF(AND(AS$16&gt;=$I68,AS$16&lt;=$K68),"",0)</f>
        <v>0</v>
      </c>
      <c r="AT68" s="115">
        <f t="shared" ref="AT68:AT71" si="366">+IF(AND(AT$16&gt;=$I68,AT$16&lt;=$K68),"",0)</f>
        <v>0</v>
      </c>
      <c r="AU68" s="115">
        <f t="shared" ref="AU68:AU71" si="367">+IF(AND(AU$16&gt;=$I68,AU$16&lt;=$K68),"",0)</f>
        <v>0</v>
      </c>
      <c r="AV68" s="115">
        <f t="shared" ref="AV68:AV71" si="368">+IF(AND(AV$16&gt;=$I68,AV$16&lt;=$K68),"",0)</f>
        <v>0</v>
      </c>
      <c r="AW68" s="115">
        <f t="shared" ref="AW68:AW71" si="369">+IF(AND(AW$16&gt;=$I68,AW$16&lt;=$K68),"",0)</f>
        <v>0</v>
      </c>
      <c r="AX68" s="115">
        <f t="shared" ref="AX68:AX71" si="370">+IF(AND(AX$16&gt;=$I68,AX$16&lt;=$K68),"",0)</f>
        <v>0</v>
      </c>
      <c r="AY68" s="40"/>
    </row>
    <row r="69" spans="1:51" s="26" customFormat="1" ht="27.6" customHeight="1" outlineLevel="1" x14ac:dyDescent="0.3">
      <c r="A69" s="13"/>
      <c r="B69" s="13"/>
      <c r="C69" s="13"/>
      <c r="D69" s="69">
        <f t="shared" si="230"/>
        <v>21</v>
      </c>
      <c r="E69" s="70" t="s">
        <v>56</v>
      </c>
      <c r="F69" s="49">
        <v>0</v>
      </c>
      <c r="G69" s="95" t="str">
        <f t="shared" si="190"/>
        <v>YES</v>
      </c>
      <c r="H69" s="96">
        <v>43718</v>
      </c>
      <c r="I69" s="96">
        <v>43718</v>
      </c>
      <c r="J69" s="96">
        <f t="shared" si="193"/>
        <v>43718</v>
      </c>
      <c r="K69" s="35">
        <f t="shared" si="194"/>
        <v>43718</v>
      </c>
      <c r="L69" s="103">
        <v>1</v>
      </c>
      <c r="M69" s="103">
        <v>1</v>
      </c>
      <c r="N69" s="103">
        <v>2</v>
      </c>
      <c r="O69" s="103">
        <v>2</v>
      </c>
      <c r="P69" s="114">
        <f t="shared" si="336"/>
        <v>0</v>
      </c>
      <c r="Q69" s="115">
        <f t="shared" si="337"/>
        <v>0</v>
      </c>
      <c r="R69" s="115">
        <f t="shared" si="338"/>
        <v>0</v>
      </c>
      <c r="S69" s="115">
        <f t="shared" si="339"/>
        <v>0</v>
      </c>
      <c r="T69" s="115">
        <f t="shared" si="340"/>
        <v>0</v>
      </c>
      <c r="U69" s="115">
        <f t="shared" si="341"/>
        <v>0</v>
      </c>
      <c r="V69" s="116">
        <f t="shared" si="342"/>
        <v>0</v>
      </c>
      <c r="W69" s="114">
        <f t="shared" si="343"/>
        <v>0</v>
      </c>
      <c r="X69" s="117">
        <f t="shared" si="344"/>
        <v>0</v>
      </c>
      <c r="Y69" s="117">
        <f t="shared" si="345"/>
        <v>0</v>
      </c>
      <c r="Z69" s="117">
        <f t="shared" si="346"/>
        <v>0</v>
      </c>
      <c r="AA69" s="117">
        <f t="shared" si="347"/>
        <v>0</v>
      </c>
      <c r="AB69" s="117">
        <f t="shared" si="348"/>
        <v>0</v>
      </c>
      <c r="AC69" s="118">
        <f t="shared" si="349"/>
        <v>0</v>
      </c>
      <c r="AD69" s="114">
        <f t="shared" si="350"/>
        <v>0</v>
      </c>
      <c r="AE69" s="117">
        <f t="shared" si="351"/>
        <v>0</v>
      </c>
      <c r="AF69" s="117">
        <f t="shared" si="352"/>
        <v>0</v>
      </c>
      <c r="AG69" s="117">
        <f t="shared" si="353"/>
        <v>0</v>
      </c>
      <c r="AH69" s="117">
        <f t="shared" si="354"/>
        <v>0</v>
      </c>
      <c r="AI69" s="117">
        <f t="shared" si="355"/>
        <v>0</v>
      </c>
      <c r="AJ69" s="118">
        <f t="shared" si="356"/>
        <v>0</v>
      </c>
      <c r="AK69" s="114">
        <f t="shared" si="357"/>
        <v>0</v>
      </c>
      <c r="AL69" s="117">
        <f t="shared" si="358"/>
        <v>0</v>
      </c>
      <c r="AM69" s="117">
        <f t="shared" si="359"/>
        <v>0</v>
      </c>
      <c r="AN69" s="117">
        <f t="shared" si="360"/>
        <v>0</v>
      </c>
      <c r="AO69" s="117">
        <f t="shared" si="361"/>
        <v>0</v>
      </c>
      <c r="AP69" s="117">
        <f t="shared" si="362"/>
        <v>0</v>
      </c>
      <c r="AQ69" s="118">
        <f t="shared" si="363"/>
        <v>0</v>
      </c>
      <c r="AR69" s="115">
        <f t="shared" si="364"/>
        <v>0</v>
      </c>
      <c r="AS69" s="115">
        <f t="shared" si="365"/>
        <v>0</v>
      </c>
      <c r="AT69" s="115">
        <f t="shared" si="366"/>
        <v>0</v>
      </c>
      <c r="AU69" s="115">
        <f t="shared" si="367"/>
        <v>0</v>
      </c>
      <c r="AV69" s="115">
        <f t="shared" si="368"/>
        <v>0</v>
      </c>
      <c r="AW69" s="115">
        <f t="shared" si="369"/>
        <v>0</v>
      </c>
      <c r="AX69" s="115">
        <f t="shared" si="370"/>
        <v>0</v>
      </c>
      <c r="AY69" s="40"/>
    </row>
    <row r="70" spans="1:51" s="200" customFormat="1" ht="27.6" customHeight="1" outlineLevel="1" x14ac:dyDescent="0.3">
      <c r="A70" s="191"/>
      <c r="B70" s="191"/>
      <c r="C70" s="191"/>
      <c r="D70" s="170" t="s">
        <v>99</v>
      </c>
      <c r="E70" s="171" t="s">
        <v>101</v>
      </c>
      <c r="F70" s="172"/>
      <c r="G70" s="173" t="str">
        <f t="shared" si="190"/>
        <v>YES</v>
      </c>
      <c r="H70" s="174"/>
      <c r="I70" s="174"/>
      <c r="J70" s="176"/>
      <c r="K70" s="177"/>
      <c r="L70" s="194"/>
      <c r="M70" s="194"/>
      <c r="N70" s="194"/>
      <c r="O70" s="194"/>
      <c r="P70" s="195">
        <f t="shared" si="336"/>
        <v>0</v>
      </c>
      <c r="Q70" s="196">
        <f t="shared" si="337"/>
        <v>0</v>
      </c>
      <c r="R70" s="196">
        <f t="shared" si="338"/>
        <v>0</v>
      </c>
      <c r="S70" s="196">
        <f t="shared" si="339"/>
        <v>0</v>
      </c>
      <c r="T70" s="196">
        <f t="shared" si="340"/>
        <v>0</v>
      </c>
      <c r="U70" s="196">
        <f t="shared" si="341"/>
        <v>0</v>
      </c>
      <c r="V70" s="197">
        <f t="shared" si="342"/>
        <v>0</v>
      </c>
      <c r="W70" s="195">
        <f t="shared" si="343"/>
        <v>0</v>
      </c>
      <c r="X70" s="198">
        <f t="shared" si="344"/>
        <v>0</v>
      </c>
      <c r="Y70" s="198">
        <f t="shared" si="345"/>
        <v>0</v>
      </c>
      <c r="Z70" s="198">
        <f t="shared" si="346"/>
        <v>0</v>
      </c>
      <c r="AA70" s="198">
        <f t="shared" si="347"/>
        <v>0</v>
      </c>
      <c r="AB70" s="198">
        <f t="shared" si="348"/>
        <v>0</v>
      </c>
      <c r="AC70" s="199">
        <f t="shared" si="349"/>
        <v>0</v>
      </c>
      <c r="AD70" s="195">
        <f t="shared" si="350"/>
        <v>0</v>
      </c>
      <c r="AE70" s="198">
        <f t="shared" si="351"/>
        <v>0</v>
      </c>
      <c r="AF70" s="198">
        <f t="shared" si="352"/>
        <v>0</v>
      </c>
      <c r="AG70" s="198">
        <f t="shared" si="353"/>
        <v>0</v>
      </c>
      <c r="AH70" s="198">
        <f t="shared" si="354"/>
        <v>0</v>
      </c>
      <c r="AI70" s="198">
        <f t="shared" si="355"/>
        <v>0</v>
      </c>
      <c r="AJ70" s="199">
        <f t="shared" si="356"/>
        <v>0</v>
      </c>
      <c r="AK70" s="195">
        <f t="shared" si="357"/>
        <v>0</v>
      </c>
      <c r="AL70" s="198">
        <f t="shared" si="358"/>
        <v>0</v>
      </c>
      <c r="AM70" s="198">
        <f t="shared" si="359"/>
        <v>0</v>
      </c>
      <c r="AN70" s="198">
        <f t="shared" si="360"/>
        <v>0</v>
      </c>
      <c r="AO70" s="198">
        <f t="shared" si="361"/>
        <v>0</v>
      </c>
      <c r="AP70" s="198">
        <f t="shared" si="362"/>
        <v>0</v>
      </c>
      <c r="AQ70" s="199">
        <f t="shared" si="363"/>
        <v>0</v>
      </c>
      <c r="AR70" s="196">
        <f t="shared" si="364"/>
        <v>0</v>
      </c>
      <c r="AS70" s="196">
        <f t="shared" si="365"/>
        <v>0</v>
      </c>
      <c r="AT70" s="196">
        <f t="shared" si="366"/>
        <v>0</v>
      </c>
      <c r="AU70" s="196">
        <f t="shared" si="367"/>
        <v>0</v>
      </c>
      <c r="AV70" s="196">
        <f t="shared" si="368"/>
        <v>0</v>
      </c>
      <c r="AW70" s="196">
        <f t="shared" si="369"/>
        <v>0</v>
      </c>
      <c r="AX70" s="196">
        <f t="shared" si="370"/>
        <v>0</v>
      </c>
      <c r="AY70" s="187"/>
    </row>
    <row r="71" spans="1:51" s="26" customFormat="1" ht="27.6" customHeight="1" outlineLevel="1" x14ac:dyDescent="0.3">
      <c r="A71" s="13"/>
      <c r="B71" s="13"/>
      <c r="C71" s="13"/>
      <c r="D71" s="69">
        <v>1</v>
      </c>
      <c r="E71" s="70" t="s">
        <v>79</v>
      </c>
      <c r="F71" s="49">
        <v>0</v>
      </c>
      <c r="G71" s="95" t="str">
        <f t="shared" si="190"/>
        <v>YES</v>
      </c>
      <c r="H71" s="96">
        <v>43689</v>
      </c>
      <c r="I71" s="96">
        <v>43689</v>
      </c>
      <c r="J71" s="96">
        <f t="shared" si="193"/>
        <v>43689</v>
      </c>
      <c r="K71" s="35">
        <f t="shared" si="194"/>
        <v>43689</v>
      </c>
      <c r="L71" s="103">
        <v>1</v>
      </c>
      <c r="M71" s="103">
        <v>1</v>
      </c>
      <c r="N71" s="103">
        <v>2</v>
      </c>
      <c r="O71" s="103">
        <v>2</v>
      </c>
      <c r="P71" s="114">
        <f t="shared" si="336"/>
        <v>0</v>
      </c>
      <c r="Q71" s="115">
        <f t="shared" si="337"/>
        <v>0</v>
      </c>
      <c r="R71" s="115">
        <f t="shared" si="338"/>
        <v>0</v>
      </c>
      <c r="S71" s="115">
        <f t="shared" si="339"/>
        <v>0</v>
      </c>
      <c r="T71" s="115">
        <f t="shared" si="340"/>
        <v>0</v>
      </c>
      <c r="U71" s="115">
        <f t="shared" si="341"/>
        <v>0</v>
      </c>
      <c r="V71" s="116">
        <f t="shared" si="342"/>
        <v>0</v>
      </c>
      <c r="W71" s="114">
        <f t="shared" si="343"/>
        <v>0</v>
      </c>
      <c r="X71" s="117">
        <f t="shared" si="344"/>
        <v>0</v>
      </c>
      <c r="Y71" s="117">
        <f t="shared" si="345"/>
        <v>0</v>
      </c>
      <c r="Z71" s="117">
        <f t="shared" si="346"/>
        <v>0</v>
      </c>
      <c r="AA71" s="117" t="str">
        <f t="shared" si="347"/>
        <v/>
      </c>
      <c r="AB71" s="117">
        <f t="shared" si="348"/>
        <v>0</v>
      </c>
      <c r="AC71" s="118">
        <f t="shared" si="349"/>
        <v>0</v>
      </c>
      <c r="AD71" s="114">
        <f t="shared" si="350"/>
        <v>0</v>
      </c>
      <c r="AE71" s="117">
        <f t="shared" si="351"/>
        <v>0</v>
      </c>
      <c r="AF71" s="117">
        <f t="shared" si="352"/>
        <v>0</v>
      </c>
      <c r="AG71" s="117">
        <f t="shared" si="353"/>
        <v>0</v>
      </c>
      <c r="AH71" s="117">
        <f t="shared" si="354"/>
        <v>0</v>
      </c>
      <c r="AI71" s="117">
        <f t="shared" si="355"/>
        <v>0</v>
      </c>
      <c r="AJ71" s="118">
        <f t="shared" si="356"/>
        <v>0</v>
      </c>
      <c r="AK71" s="114">
        <f t="shared" si="357"/>
        <v>0</v>
      </c>
      <c r="AL71" s="117">
        <f t="shared" si="358"/>
        <v>0</v>
      </c>
      <c r="AM71" s="117">
        <f t="shared" si="359"/>
        <v>0</v>
      </c>
      <c r="AN71" s="117">
        <f t="shared" si="360"/>
        <v>0</v>
      </c>
      <c r="AO71" s="117">
        <f t="shared" si="361"/>
        <v>0</v>
      </c>
      <c r="AP71" s="117">
        <f t="shared" si="362"/>
        <v>0</v>
      </c>
      <c r="AQ71" s="118">
        <f t="shared" si="363"/>
        <v>0</v>
      </c>
      <c r="AR71" s="115">
        <f t="shared" si="364"/>
        <v>0</v>
      </c>
      <c r="AS71" s="115">
        <f t="shared" si="365"/>
        <v>0</v>
      </c>
      <c r="AT71" s="115">
        <f t="shared" si="366"/>
        <v>0</v>
      </c>
      <c r="AU71" s="115">
        <f t="shared" si="367"/>
        <v>0</v>
      </c>
      <c r="AV71" s="115">
        <f t="shared" si="368"/>
        <v>0</v>
      </c>
      <c r="AW71" s="115">
        <f t="shared" si="369"/>
        <v>0</v>
      </c>
      <c r="AX71" s="115">
        <f t="shared" si="370"/>
        <v>0</v>
      </c>
      <c r="AY71" s="40"/>
    </row>
    <row r="72" spans="1:51" s="26" customFormat="1" ht="27.6" customHeight="1" outlineLevel="1" x14ac:dyDescent="0.3">
      <c r="A72" s="13"/>
      <c r="B72" s="13"/>
      <c r="C72" s="13"/>
      <c r="D72" s="69">
        <f t="shared" si="230"/>
        <v>2</v>
      </c>
      <c r="E72" s="70" t="s">
        <v>89</v>
      </c>
      <c r="F72" s="49">
        <v>0</v>
      </c>
      <c r="G72" s="95" t="str">
        <f t="shared" si="190"/>
        <v>YES</v>
      </c>
      <c r="H72" s="96">
        <v>43689</v>
      </c>
      <c r="I72" s="96">
        <v>43689</v>
      </c>
      <c r="J72" s="96">
        <f t="shared" si="193"/>
        <v>43691</v>
      </c>
      <c r="K72" s="35">
        <f t="shared" si="194"/>
        <v>43691</v>
      </c>
      <c r="L72" s="103">
        <v>3</v>
      </c>
      <c r="M72" s="103">
        <v>3</v>
      </c>
      <c r="N72" s="103">
        <v>8</v>
      </c>
      <c r="O72" s="103">
        <v>8</v>
      </c>
      <c r="P72" s="114">
        <f t="shared" ref="P72:P75" si="371">+IF(AND(P$16&gt;=$I72,P$16&lt;=$K72),"",0)</f>
        <v>0</v>
      </c>
      <c r="Q72" s="115">
        <f t="shared" ref="Q72:Q75" si="372">+IF(AND(Q$16&gt;=$I72,Q$16&lt;=$K72),"",0)</f>
        <v>0</v>
      </c>
      <c r="R72" s="115">
        <f t="shared" ref="R72:R75" si="373">+IF(AND(R$16&gt;=$I72,R$16&lt;=$K72),"",0)</f>
        <v>0</v>
      </c>
      <c r="S72" s="115">
        <f t="shared" ref="S72:S75" si="374">+IF(AND(S$16&gt;=$I72,S$16&lt;=$K72),"",0)</f>
        <v>0</v>
      </c>
      <c r="T72" s="115">
        <f t="shared" ref="T72:T75" si="375">+IF(AND(T$16&gt;=$I72,T$16&lt;=$K72),"",0)</f>
        <v>0</v>
      </c>
      <c r="U72" s="115">
        <f t="shared" ref="U72:U75" si="376">+IF(AND(U$16&gt;=$I72,U$16&lt;=$K72),"",0)</f>
        <v>0</v>
      </c>
      <c r="V72" s="116">
        <f t="shared" ref="V72:V75" si="377">+IF(AND(V$16&gt;=$I72,V$16&lt;=$K72),"",0)</f>
        <v>0</v>
      </c>
      <c r="W72" s="114">
        <f t="shared" ref="W72:W75" si="378">+IF(AND(W$16&gt;=$I72,W$16&lt;=$K72),"",0)</f>
        <v>0</v>
      </c>
      <c r="X72" s="117">
        <f t="shared" ref="X72:X75" si="379">+IF(AND(X$16&gt;=$I72,X$16&lt;=$K72),"",0)</f>
        <v>0</v>
      </c>
      <c r="Y72" s="117">
        <f t="shared" ref="Y72:Y75" si="380">+IF(AND(Y$16&gt;=$I72,Y$16&lt;=$K72),"",0)</f>
        <v>0</v>
      </c>
      <c r="Z72" s="117">
        <f t="shared" ref="Z72:Z75" si="381">+IF(AND(Z$16&gt;=$I72,Z$16&lt;=$K72),"",0)</f>
        <v>0</v>
      </c>
      <c r="AA72" s="117" t="str">
        <f t="shared" ref="AA72:AA75" si="382">+IF(AND(AA$16&gt;=$I72,AA$16&lt;=$K72),"",0)</f>
        <v/>
      </c>
      <c r="AB72" s="117" t="str">
        <f t="shared" ref="AB72:AB75" si="383">+IF(AND(AB$16&gt;=$I72,AB$16&lt;=$K72),"",0)</f>
        <v/>
      </c>
      <c r="AC72" s="118" t="str">
        <f t="shared" ref="AC72:AC75" si="384">+IF(AND(AC$16&gt;=$I72,AC$16&lt;=$K72),"",0)</f>
        <v/>
      </c>
      <c r="AD72" s="114">
        <f t="shared" ref="AD72:AD75" si="385">+IF(AND(AD$16&gt;=$I72,AD$16&lt;=$K72),"",0)</f>
        <v>0</v>
      </c>
      <c r="AE72" s="117">
        <f t="shared" ref="AE72:AE75" si="386">+IF(AND(AE$16&gt;=$I72,AE$16&lt;=$K72),"",0)</f>
        <v>0</v>
      </c>
      <c r="AF72" s="117">
        <f t="shared" ref="AF72:AF75" si="387">+IF(AND(AF$16&gt;=$I72,AF$16&lt;=$K72),"",0)</f>
        <v>0</v>
      </c>
      <c r="AG72" s="117">
        <f t="shared" ref="AG72:AG75" si="388">+IF(AND(AG$16&gt;=$I72,AG$16&lt;=$K72),"",0)</f>
        <v>0</v>
      </c>
      <c r="AH72" s="117">
        <f t="shared" ref="AH72:AH75" si="389">+IF(AND(AH$16&gt;=$I72,AH$16&lt;=$K72),"",0)</f>
        <v>0</v>
      </c>
      <c r="AI72" s="117">
        <f t="shared" ref="AI72:AI75" si="390">+IF(AND(AI$16&gt;=$I72,AI$16&lt;=$K72),"",0)</f>
        <v>0</v>
      </c>
      <c r="AJ72" s="118">
        <f t="shared" ref="AJ72:AJ75" si="391">+IF(AND(AJ$16&gt;=$I72,AJ$16&lt;=$K72),"",0)</f>
        <v>0</v>
      </c>
      <c r="AK72" s="114">
        <f t="shared" ref="AK72:AK75" si="392">+IF(AND(AK$16&gt;=$I72,AK$16&lt;=$K72),"",0)</f>
        <v>0</v>
      </c>
      <c r="AL72" s="117">
        <f t="shared" ref="AL72:AL75" si="393">+IF(AND(AL$16&gt;=$I72,AL$16&lt;=$K72),"",0)</f>
        <v>0</v>
      </c>
      <c r="AM72" s="117">
        <f t="shared" ref="AM72:AM75" si="394">+IF(AND(AM$16&gt;=$I72,AM$16&lt;=$K72),"",0)</f>
        <v>0</v>
      </c>
      <c r="AN72" s="117">
        <f t="shared" ref="AN72:AN75" si="395">+IF(AND(AN$16&gt;=$I72,AN$16&lt;=$K72),"",0)</f>
        <v>0</v>
      </c>
      <c r="AO72" s="117">
        <f t="shared" ref="AO72:AO75" si="396">+IF(AND(AO$16&gt;=$I72,AO$16&lt;=$K72),"",0)</f>
        <v>0</v>
      </c>
      <c r="AP72" s="117">
        <f t="shared" ref="AP72:AP75" si="397">+IF(AND(AP$16&gt;=$I72,AP$16&lt;=$K72),"",0)</f>
        <v>0</v>
      </c>
      <c r="AQ72" s="118">
        <f t="shared" ref="AQ72:AQ75" si="398">+IF(AND(AQ$16&gt;=$I72,AQ$16&lt;=$K72),"",0)</f>
        <v>0</v>
      </c>
      <c r="AR72" s="115">
        <f t="shared" ref="AR72:AR75" si="399">+IF(AND(AR$16&gt;=$I72,AR$16&lt;=$K72),"",0)</f>
        <v>0</v>
      </c>
      <c r="AS72" s="115">
        <f t="shared" ref="AS72:AS75" si="400">+IF(AND(AS$16&gt;=$I72,AS$16&lt;=$K72),"",0)</f>
        <v>0</v>
      </c>
      <c r="AT72" s="115">
        <f t="shared" ref="AT72:AT75" si="401">+IF(AND(AT$16&gt;=$I72,AT$16&lt;=$K72),"",0)</f>
        <v>0</v>
      </c>
      <c r="AU72" s="115">
        <f t="shared" ref="AU72:AU75" si="402">+IF(AND(AU$16&gt;=$I72,AU$16&lt;=$K72),"",0)</f>
        <v>0</v>
      </c>
      <c r="AV72" s="115">
        <f t="shared" ref="AV72:AV75" si="403">+IF(AND(AV$16&gt;=$I72,AV$16&lt;=$K72),"",0)</f>
        <v>0</v>
      </c>
      <c r="AW72" s="115">
        <f t="shared" ref="AW72:AW75" si="404">+IF(AND(AW$16&gt;=$I72,AW$16&lt;=$K72),"",0)</f>
        <v>0</v>
      </c>
      <c r="AX72" s="115">
        <f t="shared" ref="AX72:AX75" si="405">+IF(AND(AX$16&gt;=$I72,AX$16&lt;=$K72),"",0)</f>
        <v>0</v>
      </c>
      <c r="AY72" s="40"/>
    </row>
    <row r="73" spans="1:51" s="26" customFormat="1" ht="27.6" customHeight="1" outlineLevel="1" x14ac:dyDescent="0.3">
      <c r="A73" s="13"/>
      <c r="B73" s="13"/>
      <c r="C73" s="13"/>
      <c r="D73" s="69">
        <f t="shared" si="230"/>
        <v>3</v>
      </c>
      <c r="E73" s="70" t="s">
        <v>80</v>
      </c>
      <c r="F73" s="49">
        <v>0</v>
      </c>
      <c r="G73" s="95" t="str">
        <f t="shared" si="190"/>
        <v>YES</v>
      </c>
      <c r="H73" s="96">
        <v>43606</v>
      </c>
      <c r="I73" s="96">
        <v>43606</v>
      </c>
      <c r="J73" s="96">
        <f t="shared" si="193"/>
        <v>43606</v>
      </c>
      <c r="K73" s="35">
        <f t="shared" si="194"/>
        <v>43606</v>
      </c>
      <c r="L73" s="103">
        <v>1</v>
      </c>
      <c r="M73" s="103">
        <v>1</v>
      </c>
      <c r="N73" s="103">
        <v>2</v>
      </c>
      <c r="O73" s="103">
        <v>2</v>
      </c>
      <c r="P73" s="114">
        <f t="shared" si="371"/>
        <v>0</v>
      </c>
      <c r="Q73" s="115">
        <f t="shared" si="372"/>
        <v>0</v>
      </c>
      <c r="R73" s="115">
        <f t="shared" si="373"/>
        <v>0</v>
      </c>
      <c r="S73" s="115">
        <f t="shared" si="374"/>
        <v>0</v>
      </c>
      <c r="T73" s="115">
        <f t="shared" si="375"/>
        <v>0</v>
      </c>
      <c r="U73" s="115">
        <f t="shared" si="376"/>
        <v>0</v>
      </c>
      <c r="V73" s="116">
        <f t="shared" si="377"/>
        <v>0</v>
      </c>
      <c r="W73" s="114">
        <f t="shared" si="378"/>
        <v>0</v>
      </c>
      <c r="X73" s="117">
        <f t="shared" si="379"/>
        <v>0</v>
      </c>
      <c r="Y73" s="117">
        <f t="shared" si="380"/>
        <v>0</v>
      </c>
      <c r="Z73" s="117">
        <f t="shared" si="381"/>
        <v>0</v>
      </c>
      <c r="AA73" s="117">
        <f t="shared" si="382"/>
        <v>0</v>
      </c>
      <c r="AB73" s="117">
        <f t="shared" si="383"/>
        <v>0</v>
      </c>
      <c r="AC73" s="118">
        <f t="shared" si="384"/>
        <v>0</v>
      </c>
      <c r="AD73" s="114">
        <f t="shared" si="385"/>
        <v>0</v>
      </c>
      <c r="AE73" s="117">
        <f t="shared" si="386"/>
        <v>0</v>
      </c>
      <c r="AF73" s="117">
        <f t="shared" si="387"/>
        <v>0</v>
      </c>
      <c r="AG73" s="117">
        <f t="shared" si="388"/>
        <v>0</v>
      </c>
      <c r="AH73" s="117">
        <f t="shared" si="389"/>
        <v>0</v>
      </c>
      <c r="AI73" s="117">
        <f t="shared" si="390"/>
        <v>0</v>
      </c>
      <c r="AJ73" s="118">
        <f t="shared" si="391"/>
        <v>0</v>
      </c>
      <c r="AK73" s="114">
        <f t="shared" si="392"/>
        <v>0</v>
      </c>
      <c r="AL73" s="117">
        <f t="shared" si="393"/>
        <v>0</v>
      </c>
      <c r="AM73" s="117">
        <f t="shared" si="394"/>
        <v>0</v>
      </c>
      <c r="AN73" s="117">
        <f t="shared" si="395"/>
        <v>0</v>
      </c>
      <c r="AO73" s="117">
        <f t="shared" si="396"/>
        <v>0</v>
      </c>
      <c r="AP73" s="117">
        <f t="shared" si="397"/>
        <v>0</v>
      </c>
      <c r="AQ73" s="118">
        <f t="shared" si="398"/>
        <v>0</v>
      </c>
      <c r="AR73" s="115">
        <f t="shared" si="399"/>
        <v>0</v>
      </c>
      <c r="AS73" s="115">
        <f t="shared" si="400"/>
        <v>0</v>
      </c>
      <c r="AT73" s="115">
        <f t="shared" si="401"/>
        <v>0</v>
      </c>
      <c r="AU73" s="115">
        <f t="shared" si="402"/>
        <v>0</v>
      </c>
      <c r="AV73" s="115">
        <f t="shared" si="403"/>
        <v>0</v>
      </c>
      <c r="AW73" s="115">
        <f t="shared" si="404"/>
        <v>0</v>
      </c>
      <c r="AX73" s="115">
        <f t="shared" si="405"/>
        <v>0</v>
      </c>
      <c r="AY73" s="40"/>
    </row>
    <row r="74" spans="1:51" s="26" customFormat="1" ht="27.6" customHeight="1" outlineLevel="1" x14ac:dyDescent="0.3">
      <c r="A74" s="13"/>
      <c r="B74" s="13"/>
      <c r="C74" s="13"/>
      <c r="D74" s="69">
        <f t="shared" si="230"/>
        <v>4</v>
      </c>
      <c r="E74" s="70" t="s">
        <v>90</v>
      </c>
      <c r="F74" s="49">
        <v>0</v>
      </c>
      <c r="G74" s="95" t="str">
        <f t="shared" si="190"/>
        <v>YES</v>
      </c>
      <c r="H74" s="96">
        <v>43606</v>
      </c>
      <c r="I74" s="96">
        <v>43606</v>
      </c>
      <c r="J74" s="96">
        <f t="shared" si="193"/>
        <v>43607</v>
      </c>
      <c r="K74" s="35">
        <f t="shared" si="194"/>
        <v>43607</v>
      </c>
      <c r="L74" s="103">
        <v>2</v>
      </c>
      <c r="M74" s="103">
        <v>2</v>
      </c>
      <c r="N74" s="103">
        <v>8</v>
      </c>
      <c r="O74" s="103">
        <v>8</v>
      </c>
      <c r="P74" s="114">
        <f t="shared" si="371"/>
        <v>0</v>
      </c>
      <c r="Q74" s="115">
        <f t="shared" si="372"/>
        <v>0</v>
      </c>
      <c r="R74" s="115">
        <f t="shared" si="373"/>
        <v>0</v>
      </c>
      <c r="S74" s="115">
        <f t="shared" si="374"/>
        <v>0</v>
      </c>
      <c r="T74" s="115">
        <f t="shared" si="375"/>
        <v>0</v>
      </c>
      <c r="U74" s="115">
        <f t="shared" si="376"/>
        <v>0</v>
      </c>
      <c r="V74" s="116">
        <f t="shared" si="377"/>
        <v>0</v>
      </c>
      <c r="W74" s="114">
        <f t="shared" si="378"/>
        <v>0</v>
      </c>
      <c r="X74" s="117">
        <f t="shared" si="379"/>
        <v>0</v>
      </c>
      <c r="Y74" s="117">
        <f t="shared" si="380"/>
        <v>0</v>
      </c>
      <c r="Z74" s="117">
        <f t="shared" si="381"/>
        <v>0</v>
      </c>
      <c r="AA74" s="117">
        <f t="shared" si="382"/>
        <v>0</v>
      </c>
      <c r="AB74" s="117">
        <f t="shared" si="383"/>
        <v>0</v>
      </c>
      <c r="AC74" s="118">
        <f t="shared" si="384"/>
        <v>0</v>
      </c>
      <c r="AD74" s="114">
        <f t="shared" si="385"/>
        <v>0</v>
      </c>
      <c r="AE74" s="117">
        <f t="shared" si="386"/>
        <v>0</v>
      </c>
      <c r="AF74" s="117">
        <f t="shared" si="387"/>
        <v>0</v>
      </c>
      <c r="AG74" s="117">
        <f t="shared" si="388"/>
        <v>0</v>
      </c>
      <c r="AH74" s="117">
        <f t="shared" si="389"/>
        <v>0</v>
      </c>
      <c r="AI74" s="117">
        <f t="shared" si="390"/>
        <v>0</v>
      </c>
      <c r="AJ74" s="118">
        <f t="shared" si="391"/>
        <v>0</v>
      </c>
      <c r="AK74" s="114">
        <f t="shared" si="392"/>
        <v>0</v>
      </c>
      <c r="AL74" s="117">
        <f t="shared" si="393"/>
        <v>0</v>
      </c>
      <c r="AM74" s="117">
        <f t="shared" si="394"/>
        <v>0</v>
      </c>
      <c r="AN74" s="117">
        <f t="shared" si="395"/>
        <v>0</v>
      </c>
      <c r="AO74" s="117">
        <f t="shared" si="396"/>
        <v>0</v>
      </c>
      <c r="AP74" s="117">
        <f t="shared" si="397"/>
        <v>0</v>
      </c>
      <c r="AQ74" s="118">
        <f t="shared" si="398"/>
        <v>0</v>
      </c>
      <c r="AR74" s="115">
        <f t="shared" si="399"/>
        <v>0</v>
      </c>
      <c r="AS74" s="115">
        <f t="shared" si="400"/>
        <v>0</v>
      </c>
      <c r="AT74" s="115">
        <f t="shared" si="401"/>
        <v>0</v>
      </c>
      <c r="AU74" s="115">
        <f t="shared" si="402"/>
        <v>0</v>
      </c>
      <c r="AV74" s="115">
        <f t="shared" si="403"/>
        <v>0</v>
      </c>
      <c r="AW74" s="115">
        <f t="shared" si="404"/>
        <v>0</v>
      </c>
      <c r="AX74" s="115">
        <f t="shared" si="405"/>
        <v>0</v>
      </c>
      <c r="AY74" s="40"/>
    </row>
    <row r="75" spans="1:51" s="26" customFormat="1" ht="27.6" customHeight="1" outlineLevel="1" x14ac:dyDescent="0.3">
      <c r="A75" s="13"/>
      <c r="B75" s="13"/>
      <c r="C75" s="13"/>
      <c r="D75" s="69">
        <f t="shared" si="230"/>
        <v>5</v>
      </c>
      <c r="E75" s="70" t="s">
        <v>81</v>
      </c>
      <c r="F75" s="49">
        <v>0</v>
      </c>
      <c r="G75" s="95" t="str">
        <f t="shared" si="190"/>
        <v>YES</v>
      </c>
      <c r="H75" s="96">
        <v>43689</v>
      </c>
      <c r="I75" s="96">
        <v>43689</v>
      </c>
      <c r="J75" s="96">
        <f t="shared" si="193"/>
        <v>43690</v>
      </c>
      <c r="K75" s="35">
        <f t="shared" si="194"/>
        <v>43690</v>
      </c>
      <c r="L75" s="103">
        <v>2</v>
      </c>
      <c r="M75" s="103">
        <v>2</v>
      </c>
      <c r="N75" s="103">
        <v>2</v>
      </c>
      <c r="O75" s="103">
        <v>2</v>
      </c>
      <c r="P75" s="114">
        <f t="shared" si="371"/>
        <v>0</v>
      </c>
      <c r="Q75" s="115">
        <f t="shared" si="372"/>
        <v>0</v>
      </c>
      <c r="R75" s="115">
        <f t="shared" si="373"/>
        <v>0</v>
      </c>
      <c r="S75" s="115">
        <f t="shared" si="374"/>
        <v>0</v>
      </c>
      <c r="T75" s="115">
        <f t="shared" si="375"/>
        <v>0</v>
      </c>
      <c r="U75" s="115">
        <f t="shared" si="376"/>
        <v>0</v>
      </c>
      <c r="V75" s="116">
        <f t="shared" si="377"/>
        <v>0</v>
      </c>
      <c r="W75" s="114">
        <f t="shared" si="378"/>
        <v>0</v>
      </c>
      <c r="X75" s="117">
        <f t="shared" si="379"/>
        <v>0</v>
      </c>
      <c r="Y75" s="117">
        <f t="shared" si="380"/>
        <v>0</v>
      </c>
      <c r="Z75" s="117">
        <f t="shared" si="381"/>
        <v>0</v>
      </c>
      <c r="AA75" s="117" t="str">
        <f t="shared" si="382"/>
        <v/>
      </c>
      <c r="AB75" s="117" t="str">
        <f t="shared" si="383"/>
        <v/>
      </c>
      <c r="AC75" s="118">
        <f t="shared" si="384"/>
        <v>0</v>
      </c>
      <c r="AD75" s="114">
        <f t="shared" si="385"/>
        <v>0</v>
      </c>
      <c r="AE75" s="117">
        <f t="shared" si="386"/>
        <v>0</v>
      </c>
      <c r="AF75" s="117">
        <f t="shared" si="387"/>
        <v>0</v>
      </c>
      <c r="AG75" s="117">
        <f t="shared" si="388"/>
        <v>0</v>
      </c>
      <c r="AH75" s="117">
        <f t="shared" si="389"/>
        <v>0</v>
      </c>
      <c r="AI75" s="117">
        <f t="shared" si="390"/>
        <v>0</v>
      </c>
      <c r="AJ75" s="118">
        <f t="shared" si="391"/>
        <v>0</v>
      </c>
      <c r="AK75" s="114">
        <f t="shared" si="392"/>
        <v>0</v>
      </c>
      <c r="AL75" s="117">
        <f t="shared" si="393"/>
        <v>0</v>
      </c>
      <c r="AM75" s="117">
        <f t="shared" si="394"/>
        <v>0</v>
      </c>
      <c r="AN75" s="117">
        <f t="shared" si="395"/>
        <v>0</v>
      </c>
      <c r="AO75" s="117">
        <f t="shared" si="396"/>
        <v>0</v>
      </c>
      <c r="AP75" s="117">
        <f t="shared" si="397"/>
        <v>0</v>
      </c>
      <c r="AQ75" s="118">
        <f t="shared" si="398"/>
        <v>0</v>
      </c>
      <c r="AR75" s="115">
        <f t="shared" si="399"/>
        <v>0</v>
      </c>
      <c r="AS75" s="115">
        <f t="shared" si="400"/>
        <v>0</v>
      </c>
      <c r="AT75" s="115">
        <f t="shared" si="401"/>
        <v>0</v>
      </c>
      <c r="AU75" s="115">
        <f t="shared" si="402"/>
        <v>0</v>
      </c>
      <c r="AV75" s="115">
        <f t="shared" si="403"/>
        <v>0</v>
      </c>
      <c r="AW75" s="115">
        <f t="shared" si="404"/>
        <v>0</v>
      </c>
      <c r="AX75" s="115">
        <f t="shared" si="405"/>
        <v>0</v>
      </c>
      <c r="AY75" s="40"/>
    </row>
    <row r="76" spans="1:51" s="26" customFormat="1" ht="27.6" customHeight="1" outlineLevel="1" x14ac:dyDescent="0.3">
      <c r="A76" s="13"/>
      <c r="B76" s="13"/>
      <c r="C76" s="13"/>
      <c r="D76" s="69">
        <f t="shared" si="230"/>
        <v>6</v>
      </c>
      <c r="E76" s="70" t="s">
        <v>91</v>
      </c>
      <c r="F76" s="49">
        <v>0</v>
      </c>
      <c r="G76" s="95" t="str">
        <f t="shared" si="190"/>
        <v>YES</v>
      </c>
      <c r="H76" s="96">
        <v>43689</v>
      </c>
      <c r="I76" s="96">
        <v>43689</v>
      </c>
      <c r="J76" s="96">
        <f t="shared" si="193"/>
        <v>43690</v>
      </c>
      <c r="K76" s="35">
        <f t="shared" si="194"/>
        <v>43690</v>
      </c>
      <c r="L76" s="103">
        <v>2</v>
      </c>
      <c r="M76" s="103">
        <v>2</v>
      </c>
      <c r="N76" s="103">
        <v>2</v>
      </c>
      <c r="O76" s="103">
        <v>2</v>
      </c>
      <c r="P76" s="114">
        <f t="shared" ref="P76:P79" si="406">+IF(AND(P$16&gt;=$I76,P$16&lt;=$K76),"",0)</f>
        <v>0</v>
      </c>
      <c r="Q76" s="115">
        <f t="shared" ref="Q76:Q79" si="407">+IF(AND(Q$16&gt;=$I76,Q$16&lt;=$K76),"",0)</f>
        <v>0</v>
      </c>
      <c r="R76" s="115">
        <f t="shared" ref="R76:R79" si="408">+IF(AND(R$16&gt;=$I76,R$16&lt;=$K76),"",0)</f>
        <v>0</v>
      </c>
      <c r="S76" s="115">
        <f t="shared" ref="S76:S79" si="409">+IF(AND(S$16&gt;=$I76,S$16&lt;=$K76),"",0)</f>
        <v>0</v>
      </c>
      <c r="T76" s="115">
        <f t="shared" ref="T76:T79" si="410">+IF(AND(T$16&gt;=$I76,T$16&lt;=$K76),"",0)</f>
        <v>0</v>
      </c>
      <c r="U76" s="115">
        <f t="shared" ref="U76:U79" si="411">+IF(AND(U$16&gt;=$I76,U$16&lt;=$K76),"",0)</f>
        <v>0</v>
      </c>
      <c r="V76" s="116">
        <f t="shared" ref="V76:V79" si="412">+IF(AND(V$16&gt;=$I76,V$16&lt;=$K76),"",0)</f>
        <v>0</v>
      </c>
      <c r="W76" s="114">
        <f t="shared" ref="W76:W79" si="413">+IF(AND(W$16&gt;=$I76,W$16&lt;=$K76),"",0)</f>
        <v>0</v>
      </c>
      <c r="X76" s="117">
        <f t="shared" ref="X76:X79" si="414">+IF(AND(X$16&gt;=$I76,X$16&lt;=$K76),"",0)</f>
        <v>0</v>
      </c>
      <c r="Y76" s="117">
        <f t="shared" ref="Y76:Y79" si="415">+IF(AND(Y$16&gt;=$I76,Y$16&lt;=$K76),"",0)</f>
        <v>0</v>
      </c>
      <c r="Z76" s="117">
        <f t="shared" ref="Z76:Z79" si="416">+IF(AND(Z$16&gt;=$I76,Z$16&lt;=$K76),"",0)</f>
        <v>0</v>
      </c>
      <c r="AA76" s="117" t="str">
        <f t="shared" ref="AA76:AA79" si="417">+IF(AND(AA$16&gt;=$I76,AA$16&lt;=$K76),"",0)</f>
        <v/>
      </c>
      <c r="AB76" s="117" t="str">
        <f t="shared" ref="AB76:AB79" si="418">+IF(AND(AB$16&gt;=$I76,AB$16&lt;=$K76),"",0)</f>
        <v/>
      </c>
      <c r="AC76" s="118">
        <f t="shared" ref="AC76:AC79" si="419">+IF(AND(AC$16&gt;=$I76,AC$16&lt;=$K76),"",0)</f>
        <v>0</v>
      </c>
      <c r="AD76" s="114">
        <f t="shared" ref="AD76:AD79" si="420">+IF(AND(AD$16&gt;=$I76,AD$16&lt;=$K76),"",0)</f>
        <v>0</v>
      </c>
      <c r="AE76" s="117">
        <f t="shared" ref="AE76:AE79" si="421">+IF(AND(AE$16&gt;=$I76,AE$16&lt;=$K76),"",0)</f>
        <v>0</v>
      </c>
      <c r="AF76" s="117">
        <f t="shared" ref="AF76:AF79" si="422">+IF(AND(AF$16&gt;=$I76,AF$16&lt;=$K76),"",0)</f>
        <v>0</v>
      </c>
      <c r="AG76" s="117">
        <f t="shared" ref="AG76:AG79" si="423">+IF(AND(AG$16&gt;=$I76,AG$16&lt;=$K76),"",0)</f>
        <v>0</v>
      </c>
      <c r="AH76" s="117">
        <f t="shared" ref="AH76:AH79" si="424">+IF(AND(AH$16&gt;=$I76,AH$16&lt;=$K76),"",0)</f>
        <v>0</v>
      </c>
      <c r="AI76" s="117">
        <f t="shared" ref="AI76:AI79" si="425">+IF(AND(AI$16&gt;=$I76,AI$16&lt;=$K76),"",0)</f>
        <v>0</v>
      </c>
      <c r="AJ76" s="118">
        <f t="shared" ref="AJ76:AJ79" si="426">+IF(AND(AJ$16&gt;=$I76,AJ$16&lt;=$K76),"",0)</f>
        <v>0</v>
      </c>
      <c r="AK76" s="114">
        <f t="shared" ref="AK76:AK79" si="427">+IF(AND(AK$16&gt;=$I76,AK$16&lt;=$K76),"",0)</f>
        <v>0</v>
      </c>
      <c r="AL76" s="117">
        <f t="shared" ref="AL76:AL79" si="428">+IF(AND(AL$16&gt;=$I76,AL$16&lt;=$K76),"",0)</f>
        <v>0</v>
      </c>
      <c r="AM76" s="117">
        <f t="shared" ref="AM76:AM79" si="429">+IF(AND(AM$16&gt;=$I76,AM$16&lt;=$K76),"",0)</f>
        <v>0</v>
      </c>
      <c r="AN76" s="117">
        <f t="shared" ref="AN76:AN79" si="430">+IF(AND(AN$16&gt;=$I76,AN$16&lt;=$K76),"",0)</f>
        <v>0</v>
      </c>
      <c r="AO76" s="117">
        <f t="shared" ref="AO76:AO79" si="431">+IF(AND(AO$16&gt;=$I76,AO$16&lt;=$K76),"",0)</f>
        <v>0</v>
      </c>
      <c r="AP76" s="117">
        <f t="shared" ref="AP76:AP79" si="432">+IF(AND(AP$16&gt;=$I76,AP$16&lt;=$K76),"",0)</f>
        <v>0</v>
      </c>
      <c r="AQ76" s="118">
        <f t="shared" ref="AQ76:AQ79" si="433">+IF(AND(AQ$16&gt;=$I76,AQ$16&lt;=$K76),"",0)</f>
        <v>0</v>
      </c>
      <c r="AR76" s="115">
        <f t="shared" ref="AR76:AR79" si="434">+IF(AND(AR$16&gt;=$I76,AR$16&lt;=$K76),"",0)</f>
        <v>0</v>
      </c>
      <c r="AS76" s="115">
        <f t="shared" ref="AS76:AS79" si="435">+IF(AND(AS$16&gt;=$I76,AS$16&lt;=$K76),"",0)</f>
        <v>0</v>
      </c>
      <c r="AT76" s="115">
        <f t="shared" ref="AT76:AT79" si="436">+IF(AND(AT$16&gt;=$I76,AT$16&lt;=$K76),"",0)</f>
        <v>0</v>
      </c>
      <c r="AU76" s="115">
        <f t="shared" ref="AU76:AU79" si="437">+IF(AND(AU$16&gt;=$I76,AU$16&lt;=$K76),"",0)</f>
        <v>0</v>
      </c>
      <c r="AV76" s="115">
        <f t="shared" ref="AV76:AV79" si="438">+IF(AND(AV$16&gt;=$I76,AV$16&lt;=$K76),"",0)</f>
        <v>0</v>
      </c>
      <c r="AW76" s="115">
        <f t="shared" ref="AW76:AW79" si="439">+IF(AND(AW$16&gt;=$I76,AW$16&lt;=$K76),"",0)</f>
        <v>0</v>
      </c>
      <c r="AX76" s="115">
        <f t="shared" ref="AX76:AX79" si="440">+IF(AND(AX$16&gt;=$I76,AX$16&lt;=$K76),"",0)</f>
        <v>0</v>
      </c>
      <c r="AY76" s="40"/>
    </row>
    <row r="77" spans="1:51" s="26" customFormat="1" ht="27.6" customHeight="1" outlineLevel="1" x14ac:dyDescent="0.3">
      <c r="A77" s="13"/>
      <c r="B77" s="13"/>
      <c r="C77" s="13"/>
      <c r="D77" s="69">
        <f t="shared" si="230"/>
        <v>7</v>
      </c>
      <c r="E77" s="70" t="s">
        <v>82</v>
      </c>
      <c r="F77" s="49">
        <v>0</v>
      </c>
      <c r="G77" s="95" t="str">
        <f t="shared" si="190"/>
        <v>YES</v>
      </c>
      <c r="H77" s="96">
        <v>43639</v>
      </c>
      <c r="I77" s="96">
        <v>43639</v>
      </c>
      <c r="J77" s="96">
        <f t="shared" si="193"/>
        <v>43640</v>
      </c>
      <c r="K77" s="35">
        <f t="shared" si="194"/>
        <v>43640</v>
      </c>
      <c r="L77" s="103">
        <v>2</v>
      </c>
      <c r="M77" s="103">
        <v>2</v>
      </c>
      <c r="N77" s="103">
        <v>3</v>
      </c>
      <c r="O77" s="103">
        <v>3</v>
      </c>
      <c r="P77" s="114">
        <f t="shared" si="406"/>
        <v>0</v>
      </c>
      <c r="Q77" s="115">
        <f t="shared" si="407"/>
        <v>0</v>
      </c>
      <c r="R77" s="115">
        <f t="shared" si="408"/>
        <v>0</v>
      </c>
      <c r="S77" s="115">
        <f t="shared" si="409"/>
        <v>0</v>
      </c>
      <c r="T77" s="115">
        <f t="shared" si="410"/>
        <v>0</v>
      </c>
      <c r="U77" s="115">
        <f t="shared" si="411"/>
        <v>0</v>
      </c>
      <c r="V77" s="116">
        <f t="shared" si="412"/>
        <v>0</v>
      </c>
      <c r="W77" s="114">
        <f t="shared" si="413"/>
        <v>0</v>
      </c>
      <c r="X77" s="117">
        <f t="shared" si="414"/>
        <v>0</v>
      </c>
      <c r="Y77" s="117">
        <f t="shared" si="415"/>
        <v>0</v>
      </c>
      <c r="Z77" s="117">
        <f t="shared" si="416"/>
        <v>0</v>
      </c>
      <c r="AA77" s="117">
        <f t="shared" si="417"/>
        <v>0</v>
      </c>
      <c r="AB77" s="117">
        <f t="shared" si="418"/>
        <v>0</v>
      </c>
      <c r="AC77" s="118">
        <f t="shared" si="419"/>
        <v>0</v>
      </c>
      <c r="AD77" s="114">
        <f t="shared" si="420"/>
        <v>0</v>
      </c>
      <c r="AE77" s="117">
        <f t="shared" si="421"/>
        <v>0</v>
      </c>
      <c r="AF77" s="117">
        <f t="shared" si="422"/>
        <v>0</v>
      </c>
      <c r="AG77" s="117">
        <f t="shared" si="423"/>
        <v>0</v>
      </c>
      <c r="AH77" s="117">
        <f t="shared" si="424"/>
        <v>0</v>
      </c>
      <c r="AI77" s="117">
        <f t="shared" si="425"/>
        <v>0</v>
      </c>
      <c r="AJ77" s="118">
        <f t="shared" si="426"/>
        <v>0</v>
      </c>
      <c r="AK77" s="114">
        <f t="shared" si="427"/>
        <v>0</v>
      </c>
      <c r="AL77" s="117">
        <f t="shared" si="428"/>
        <v>0</v>
      </c>
      <c r="AM77" s="117">
        <f t="shared" si="429"/>
        <v>0</v>
      </c>
      <c r="AN77" s="117">
        <f t="shared" si="430"/>
        <v>0</v>
      </c>
      <c r="AO77" s="117">
        <f t="shared" si="431"/>
        <v>0</v>
      </c>
      <c r="AP77" s="117">
        <f t="shared" si="432"/>
        <v>0</v>
      </c>
      <c r="AQ77" s="118">
        <f t="shared" si="433"/>
        <v>0</v>
      </c>
      <c r="AR77" s="115">
        <f t="shared" si="434"/>
        <v>0</v>
      </c>
      <c r="AS77" s="115">
        <f t="shared" si="435"/>
        <v>0</v>
      </c>
      <c r="AT77" s="115">
        <f t="shared" si="436"/>
        <v>0</v>
      </c>
      <c r="AU77" s="115">
        <f t="shared" si="437"/>
        <v>0</v>
      </c>
      <c r="AV77" s="115">
        <f t="shared" si="438"/>
        <v>0</v>
      </c>
      <c r="AW77" s="115">
        <f t="shared" si="439"/>
        <v>0</v>
      </c>
      <c r="AX77" s="115">
        <f t="shared" si="440"/>
        <v>0</v>
      </c>
      <c r="AY77" s="40"/>
    </row>
    <row r="78" spans="1:51" s="26" customFormat="1" ht="27.6" customHeight="1" outlineLevel="1" x14ac:dyDescent="0.3">
      <c r="A78" s="13"/>
      <c r="B78" s="13"/>
      <c r="C78" s="13"/>
      <c r="D78" s="69">
        <f t="shared" si="230"/>
        <v>8</v>
      </c>
      <c r="E78" s="70" t="s">
        <v>92</v>
      </c>
      <c r="F78" s="49">
        <v>0</v>
      </c>
      <c r="G78" s="95" t="str">
        <f t="shared" si="190"/>
        <v>YES</v>
      </c>
      <c r="H78" s="96">
        <v>43639</v>
      </c>
      <c r="I78" s="96">
        <v>43639</v>
      </c>
      <c r="J78" s="96">
        <f t="shared" si="193"/>
        <v>43641</v>
      </c>
      <c r="K78" s="35">
        <f t="shared" si="194"/>
        <v>43641</v>
      </c>
      <c r="L78" s="103">
        <v>3</v>
      </c>
      <c r="M78" s="103">
        <v>3</v>
      </c>
      <c r="N78" s="103">
        <v>3</v>
      </c>
      <c r="O78" s="103">
        <v>3</v>
      </c>
      <c r="P78" s="114">
        <f t="shared" si="406"/>
        <v>0</v>
      </c>
      <c r="Q78" s="115">
        <f t="shared" si="407"/>
        <v>0</v>
      </c>
      <c r="R78" s="115">
        <f t="shared" si="408"/>
        <v>0</v>
      </c>
      <c r="S78" s="115">
        <f t="shared" si="409"/>
        <v>0</v>
      </c>
      <c r="T78" s="115">
        <f t="shared" si="410"/>
        <v>0</v>
      </c>
      <c r="U78" s="115">
        <f t="shared" si="411"/>
        <v>0</v>
      </c>
      <c r="V78" s="116">
        <f t="shared" si="412"/>
        <v>0</v>
      </c>
      <c r="W78" s="114">
        <f t="shared" si="413"/>
        <v>0</v>
      </c>
      <c r="X78" s="117">
        <f t="shared" si="414"/>
        <v>0</v>
      </c>
      <c r="Y78" s="117">
        <f t="shared" si="415"/>
        <v>0</v>
      </c>
      <c r="Z78" s="117">
        <f t="shared" si="416"/>
        <v>0</v>
      </c>
      <c r="AA78" s="117">
        <f t="shared" si="417"/>
        <v>0</v>
      </c>
      <c r="AB78" s="117">
        <f t="shared" si="418"/>
        <v>0</v>
      </c>
      <c r="AC78" s="118">
        <f t="shared" si="419"/>
        <v>0</v>
      </c>
      <c r="AD78" s="114">
        <f t="shared" si="420"/>
        <v>0</v>
      </c>
      <c r="AE78" s="117">
        <f t="shared" si="421"/>
        <v>0</v>
      </c>
      <c r="AF78" s="117">
        <f t="shared" si="422"/>
        <v>0</v>
      </c>
      <c r="AG78" s="117">
        <f t="shared" si="423"/>
        <v>0</v>
      </c>
      <c r="AH78" s="117">
        <f t="shared" si="424"/>
        <v>0</v>
      </c>
      <c r="AI78" s="117">
        <f t="shared" si="425"/>
        <v>0</v>
      </c>
      <c r="AJ78" s="118">
        <f t="shared" si="426"/>
        <v>0</v>
      </c>
      <c r="AK78" s="114">
        <f t="shared" si="427"/>
        <v>0</v>
      </c>
      <c r="AL78" s="117">
        <f t="shared" si="428"/>
        <v>0</v>
      </c>
      <c r="AM78" s="117">
        <f t="shared" si="429"/>
        <v>0</v>
      </c>
      <c r="AN78" s="117">
        <f t="shared" si="430"/>
        <v>0</v>
      </c>
      <c r="AO78" s="117">
        <f t="shared" si="431"/>
        <v>0</v>
      </c>
      <c r="AP78" s="117">
        <f t="shared" si="432"/>
        <v>0</v>
      </c>
      <c r="AQ78" s="118">
        <f t="shared" si="433"/>
        <v>0</v>
      </c>
      <c r="AR78" s="115">
        <f t="shared" si="434"/>
        <v>0</v>
      </c>
      <c r="AS78" s="115">
        <f t="shared" si="435"/>
        <v>0</v>
      </c>
      <c r="AT78" s="115">
        <f t="shared" si="436"/>
        <v>0</v>
      </c>
      <c r="AU78" s="115">
        <f t="shared" si="437"/>
        <v>0</v>
      </c>
      <c r="AV78" s="115">
        <f t="shared" si="438"/>
        <v>0</v>
      </c>
      <c r="AW78" s="115">
        <f t="shared" si="439"/>
        <v>0</v>
      </c>
      <c r="AX78" s="115">
        <f t="shared" si="440"/>
        <v>0</v>
      </c>
      <c r="AY78" s="40"/>
    </row>
    <row r="79" spans="1:51" s="26" customFormat="1" ht="27.6" customHeight="1" outlineLevel="1" x14ac:dyDescent="0.3">
      <c r="A79" s="13"/>
      <c r="B79" s="13"/>
      <c r="C79" s="13"/>
      <c r="D79" s="69">
        <f t="shared" si="230"/>
        <v>9</v>
      </c>
      <c r="E79" s="70" t="s">
        <v>83</v>
      </c>
      <c r="F79" s="49">
        <v>0</v>
      </c>
      <c r="G79" s="95" t="str">
        <f t="shared" si="190"/>
        <v>YES</v>
      </c>
      <c r="H79" s="96">
        <v>43690</v>
      </c>
      <c r="I79" s="96">
        <v>43690</v>
      </c>
      <c r="J79" s="96">
        <f t="shared" si="193"/>
        <v>43692</v>
      </c>
      <c r="K79" s="35">
        <f t="shared" si="194"/>
        <v>43692</v>
      </c>
      <c r="L79" s="103">
        <v>3</v>
      </c>
      <c r="M79" s="103">
        <v>3</v>
      </c>
      <c r="N79" s="103">
        <v>2</v>
      </c>
      <c r="O79" s="103">
        <v>2</v>
      </c>
      <c r="P79" s="114">
        <f t="shared" si="406"/>
        <v>0</v>
      </c>
      <c r="Q79" s="115">
        <f t="shared" si="407"/>
        <v>0</v>
      </c>
      <c r="R79" s="115">
        <f t="shared" si="408"/>
        <v>0</v>
      </c>
      <c r="S79" s="115">
        <f t="shared" si="409"/>
        <v>0</v>
      </c>
      <c r="T79" s="115">
        <f t="shared" si="410"/>
        <v>0</v>
      </c>
      <c r="U79" s="115">
        <f t="shared" si="411"/>
        <v>0</v>
      </c>
      <c r="V79" s="116">
        <f t="shared" si="412"/>
        <v>0</v>
      </c>
      <c r="W79" s="114">
        <f t="shared" si="413"/>
        <v>0</v>
      </c>
      <c r="X79" s="117">
        <f t="shared" si="414"/>
        <v>0</v>
      </c>
      <c r="Y79" s="117">
        <f t="shared" si="415"/>
        <v>0</v>
      </c>
      <c r="Z79" s="117">
        <f t="shared" si="416"/>
        <v>0</v>
      </c>
      <c r="AA79" s="117">
        <f t="shared" si="417"/>
        <v>0</v>
      </c>
      <c r="AB79" s="117" t="str">
        <f t="shared" si="418"/>
        <v/>
      </c>
      <c r="AC79" s="118" t="str">
        <f t="shared" si="419"/>
        <v/>
      </c>
      <c r="AD79" s="114" t="str">
        <f t="shared" si="420"/>
        <v/>
      </c>
      <c r="AE79" s="117">
        <f t="shared" si="421"/>
        <v>0</v>
      </c>
      <c r="AF79" s="117">
        <f t="shared" si="422"/>
        <v>0</v>
      </c>
      <c r="AG79" s="117">
        <f t="shared" si="423"/>
        <v>0</v>
      </c>
      <c r="AH79" s="117">
        <f t="shared" si="424"/>
        <v>0</v>
      </c>
      <c r="AI79" s="117">
        <f t="shared" si="425"/>
        <v>0</v>
      </c>
      <c r="AJ79" s="118">
        <f t="shared" si="426"/>
        <v>0</v>
      </c>
      <c r="AK79" s="114">
        <f t="shared" si="427"/>
        <v>0</v>
      </c>
      <c r="AL79" s="117">
        <f t="shared" si="428"/>
        <v>0</v>
      </c>
      <c r="AM79" s="117">
        <f t="shared" si="429"/>
        <v>0</v>
      </c>
      <c r="AN79" s="117">
        <f t="shared" si="430"/>
        <v>0</v>
      </c>
      <c r="AO79" s="117">
        <f t="shared" si="431"/>
        <v>0</v>
      </c>
      <c r="AP79" s="117">
        <f t="shared" si="432"/>
        <v>0</v>
      </c>
      <c r="AQ79" s="118">
        <f t="shared" si="433"/>
        <v>0</v>
      </c>
      <c r="AR79" s="115">
        <f t="shared" si="434"/>
        <v>0</v>
      </c>
      <c r="AS79" s="115">
        <f t="shared" si="435"/>
        <v>0</v>
      </c>
      <c r="AT79" s="115">
        <f t="shared" si="436"/>
        <v>0</v>
      </c>
      <c r="AU79" s="115">
        <f t="shared" si="437"/>
        <v>0</v>
      </c>
      <c r="AV79" s="115">
        <f t="shared" si="438"/>
        <v>0</v>
      </c>
      <c r="AW79" s="115">
        <f t="shared" si="439"/>
        <v>0</v>
      </c>
      <c r="AX79" s="115">
        <f t="shared" si="440"/>
        <v>0</v>
      </c>
      <c r="AY79" s="40"/>
    </row>
    <row r="80" spans="1:51" s="26" customFormat="1" ht="27.6" customHeight="1" outlineLevel="1" x14ac:dyDescent="0.3">
      <c r="A80" s="13"/>
      <c r="B80" s="13"/>
      <c r="C80" s="13"/>
      <c r="D80" s="69">
        <f t="shared" si="230"/>
        <v>10</v>
      </c>
      <c r="E80" s="70" t="s">
        <v>93</v>
      </c>
      <c r="F80" s="49">
        <v>0</v>
      </c>
      <c r="G80" s="95" t="str">
        <f t="shared" si="190"/>
        <v>YES</v>
      </c>
      <c r="H80" s="96">
        <v>43693</v>
      </c>
      <c r="I80" s="96">
        <v>43693</v>
      </c>
      <c r="J80" s="96">
        <f t="shared" si="193"/>
        <v>43693</v>
      </c>
      <c r="K80" s="35">
        <f t="shared" si="194"/>
        <v>43693</v>
      </c>
      <c r="L80" s="103">
        <v>1</v>
      </c>
      <c r="M80" s="103">
        <v>1</v>
      </c>
      <c r="N80" s="103">
        <v>2</v>
      </c>
      <c r="O80" s="103">
        <v>2</v>
      </c>
      <c r="P80" s="114">
        <f t="shared" ref="P80:P83" si="441">+IF(AND(P$16&gt;=$I80,P$16&lt;=$K80),"",0)</f>
        <v>0</v>
      </c>
      <c r="Q80" s="115">
        <f t="shared" ref="Q80:Q83" si="442">+IF(AND(Q$16&gt;=$I80,Q$16&lt;=$K80),"",0)</f>
        <v>0</v>
      </c>
      <c r="R80" s="115">
        <f t="shared" ref="R80:R83" si="443">+IF(AND(R$16&gt;=$I80,R$16&lt;=$K80),"",0)</f>
        <v>0</v>
      </c>
      <c r="S80" s="115">
        <f t="shared" ref="S80:S83" si="444">+IF(AND(S$16&gt;=$I80,S$16&lt;=$K80),"",0)</f>
        <v>0</v>
      </c>
      <c r="T80" s="115">
        <f t="shared" ref="T80:T83" si="445">+IF(AND(T$16&gt;=$I80,T$16&lt;=$K80),"",0)</f>
        <v>0</v>
      </c>
      <c r="U80" s="115">
        <f t="shared" ref="U80:U83" si="446">+IF(AND(U$16&gt;=$I80,U$16&lt;=$K80),"",0)</f>
        <v>0</v>
      </c>
      <c r="V80" s="116">
        <f t="shared" ref="V80:V83" si="447">+IF(AND(V$16&gt;=$I80,V$16&lt;=$K80),"",0)</f>
        <v>0</v>
      </c>
      <c r="W80" s="114">
        <f t="shared" ref="W80:W83" si="448">+IF(AND(W$16&gt;=$I80,W$16&lt;=$K80),"",0)</f>
        <v>0</v>
      </c>
      <c r="X80" s="117">
        <f t="shared" ref="X80:X83" si="449">+IF(AND(X$16&gt;=$I80,X$16&lt;=$K80),"",0)</f>
        <v>0</v>
      </c>
      <c r="Y80" s="117">
        <f t="shared" ref="Y80:Y83" si="450">+IF(AND(Y$16&gt;=$I80,Y$16&lt;=$K80),"",0)</f>
        <v>0</v>
      </c>
      <c r="Z80" s="117">
        <f t="shared" ref="Z80:Z83" si="451">+IF(AND(Z$16&gt;=$I80,Z$16&lt;=$K80),"",0)</f>
        <v>0</v>
      </c>
      <c r="AA80" s="117">
        <f t="shared" ref="AA80:AA83" si="452">+IF(AND(AA$16&gt;=$I80,AA$16&lt;=$K80),"",0)</f>
        <v>0</v>
      </c>
      <c r="AB80" s="117">
        <f t="shared" ref="AB80:AB83" si="453">+IF(AND(AB$16&gt;=$I80,AB$16&lt;=$K80),"",0)</f>
        <v>0</v>
      </c>
      <c r="AC80" s="118">
        <f t="shared" ref="AC80:AC83" si="454">+IF(AND(AC$16&gt;=$I80,AC$16&lt;=$K80),"",0)</f>
        <v>0</v>
      </c>
      <c r="AD80" s="114">
        <f t="shared" ref="AD80:AD83" si="455">+IF(AND(AD$16&gt;=$I80,AD$16&lt;=$K80),"",0)</f>
        <v>0</v>
      </c>
      <c r="AE80" s="117" t="str">
        <f t="shared" ref="AE80:AE83" si="456">+IF(AND(AE$16&gt;=$I80,AE$16&lt;=$K80),"",0)</f>
        <v/>
      </c>
      <c r="AF80" s="117">
        <f t="shared" ref="AF80:AF83" si="457">+IF(AND(AF$16&gt;=$I80,AF$16&lt;=$K80),"",0)</f>
        <v>0</v>
      </c>
      <c r="AG80" s="117">
        <f t="shared" ref="AG80:AG83" si="458">+IF(AND(AG$16&gt;=$I80,AG$16&lt;=$K80),"",0)</f>
        <v>0</v>
      </c>
      <c r="AH80" s="117">
        <f t="shared" ref="AH80:AH83" si="459">+IF(AND(AH$16&gt;=$I80,AH$16&lt;=$K80),"",0)</f>
        <v>0</v>
      </c>
      <c r="AI80" s="117">
        <f t="shared" ref="AI80:AI83" si="460">+IF(AND(AI$16&gt;=$I80,AI$16&lt;=$K80),"",0)</f>
        <v>0</v>
      </c>
      <c r="AJ80" s="118">
        <f t="shared" ref="AJ80:AJ83" si="461">+IF(AND(AJ$16&gt;=$I80,AJ$16&lt;=$K80),"",0)</f>
        <v>0</v>
      </c>
      <c r="AK80" s="114">
        <f t="shared" ref="AK80:AK83" si="462">+IF(AND(AK$16&gt;=$I80,AK$16&lt;=$K80),"",0)</f>
        <v>0</v>
      </c>
      <c r="AL80" s="117">
        <f t="shared" ref="AL80:AL83" si="463">+IF(AND(AL$16&gt;=$I80,AL$16&lt;=$K80),"",0)</f>
        <v>0</v>
      </c>
      <c r="AM80" s="117">
        <f t="shared" ref="AM80:AM83" si="464">+IF(AND(AM$16&gt;=$I80,AM$16&lt;=$K80),"",0)</f>
        <v>0</v>
      </c>
      <c r="AN80" s="117">
        <f t="shared" ref="AN80:AN83" si="465">+IF(AND(AN$16&gt;=$I80,AN$16&lt;=$K80),"",0)</f>
        <v>0</v>
      </c>
      <c r="AO80" s="117">
        <f t="shared" ref="AO80:AO83" si="466">+IF(AND(AO$16&gt;=$I80,AO$16&lt;=$K80),"",0)</f>
        <v>0</v>
      </c>
      <c r="AP80" s="117">
        <f t="shared" ref="AP80:AP83" si="467">+IF(AND(AP$16&gt;=$I80,AP$16&lt;=$K80),"",0)</f>
        <v>0</v>
      </c>
      <c r="AQ80" s="118">
        <f t="shared" ref="AQ80:AQ83" si="468">+IF(AND(AQ$16&gt;=$I80,AQ$16&lt;=$K80),"",0)</f>
        <v>0</v>
      </c>
      <c r="AR80" s="115">
        <f t="shared" ref="AR80:AR83" si="469">+IF(AND(AR$16&gt;=$I80,AR$16&lt;=$K80),"",0)</f>
        <v>0</v>
      </c>
      <c r="AS80" s="115">
        <f t="shared" ref="AS80:AS83" si="470">+IF(AND(AS$16&gt;=$I80,AS$16&lt;=$K80),"",0)</f>
        <v>0</v>
      </c>
      <c r="AT80" s="115">
        <f t="shared" ref="AT80:AT83" si="471">+IF(AND(AT$16&gt;=$I80,AT$16&lt;=$K80),"",0)</f>
        <v>0</v>
      </c>
      <c r="AU80" s="115">
        <f t="shared" ref="AU80:AU83" si="472">+IF(AND(AU$16&gt;=$I80,AU$16&lt;=$K80),"",0)</f>
        <v>0</v>
      </c>
      <c r="AV80" s="115">
        <f t="shared" ref="AV80:AV83" si="473">+IF(AND(AV$16&gt;=$I80,AV$16&lt;=$K80),"",0)</f>
        <v>0</v>
      </c>
      <c r="AW80" s="115">
        <f t="shared" ref="AW80:AW83" si="474">+IF(AND(AW$16&gt;=$I80,AW$16&lt;=$K80),"",0)</f>
        <v>0</v>
      </c>
      <c r="AX80" s="115">
        <f t="shared" ref="AX80:AX83" si="475">+IF(AND(AX$16&gt;=$I80,AX$16&lt;=$K80),"",0)</f>
        <v>0</v>
      </c>
      <c r="AY80" s="40"/>
    </row>
    <row r="81" spans="1:51" s="26" customFormat="1" ht="27.6" customHeight="1" outlineLevel="1" x14ac:dyDescent="0.3">
      <c r="A81" s="13"/>
      <c r="B81" s="13"/>
      <c r="C81" s="13"/>
      <c r="D81" s="69">
        <f t="shared" si="230"/>
        <v>11</v>
      </c>
      <c r="E81" s="70" t="s">
        <v>102</v>
      </c>
      <c r="F81" s="49">
        <v>0</v>
      </c>
      <c r="G81" s="95" t="str">
        <f t="shared" si="190"/>
        <v>YES</v>
      </c>
      <c r="H81" s="96">
        <v>43607</v>
      </c>
      <c r="I81" s="96">
        <v>43607</v>
      </c>
      <c r="J81" s="96">
        <f t="shared" si="193"/>
        <v>43608</v>
      </c>
      <c r="K81" s="35">
        <f t="shared" si="194"/>
        <v>43608</v>
      </c>
      <c r="L81" s="103">
        <v>2</v>
      </c>
      <c r="M81" s="103">
        <v>2</v>
      </c>
      <c r="N81" s="103">
        <v>2</v>
      </c>
      <c r="O81" s="103">
        <v>2</v>
      </c>
      <c r="P81" s="114">
        <f t="shared" si="441"/>
        <v>0</v>
      </c>
      <c r="Q81" s="115">
        <f t="shared" si="442"/>
        <v>0</v>
      </c>
      <c r="R81" s="115">
        <f t="shared" si="443"/>
        <v>0</v>
      </c>
      <c r="S81" s="115">
        <f t="shared" si="444"/>
        <v>0</v>
      </c>
      <c r="T81" s="115">
        <f t="shared" si="445"/>
        <v>0</v>
      </c>
      <c r="U81" s="115">
        <f t="shared" si="446"/>
        <v>0</v>
      </c>
      <c r="V81" s="116">
        <f t="shared" si="447"/>
        <v>0</v>
      </c>
      <c r="W81" s="114">
        <f t="shared" si="448"/>
        <v>0</v>
      </c>
      <c r="X81" s="117">
        <f t="shared" si="449"/>
        <v>0</v>
      </c>
      <c r="Y81" s="117">
        <f t="shared" si="450"/>
        <v>0</v>
      </c>
      <c r="Z81" s="117">
        <f t="shared" si="451"/>
        <v>0</v>
      </c>
      <c r="AA81" s="117">
        <f t="shared" si="452"/>
        <v>0</v>
      </c>
      <c r="AB81" s="117">
        <f t="shared" si="453"/>
        <v>0</v>
      </c>
      <c r="AC81" s="118">
        <f t="shared" si="454"/>
        <v>0</v>
      </c>
      <c r="AD81" s="114">
        <f t="shared" si="455"/>
        <v>0</v>
      </c>
      <c r="AE81" s="117">
        <f t="shared" si="456"/>
        <v>0</v>
      </c>
      <c r="AF81" s="117">
        <f t="shared" si="457"/>
        <v>0</v>
      </c>
      <c r="AG81" s="117">
        <f t="shared" si="458"/>
        <v>0</v>
      </c>
      <c r="AH81" s="117">
        <f t="shared" si="459"/>
        <v>0</v>
      </c>
      <c r="AI81" s="117">
        <f t="shared" si="460"/>
        <v>0</v>
      </c>
      <c r="AJ81" s="118">
        <f t="shared" si="461"/>
        <v>0</v>
      </c>
      <c r="AK81" s="114">
        <f t="shared" si="462"/>
        <v>0</v>
      </c>
      <c r="AL81" s="117">
        <f t="shared" si="463"/>
        <v>0</v>
      </c>
      <c r="AM81" s="117">
        <f t="shared" si="464"/>
        <v>0</v>
      </c>
      <c r="AN81" s="117">
        <f t="shared" si="465"/>
        <v>0</v>
      </c>
      <c r="AO81" s="117">
        <f t="shared" si="466"/>
        <v>0</v>
      </c>
      <c r="AP81" s="117">
        <f t="shared" si="467"/>
        <v>0</v>
      </c>
      <c r="AQ81" s="118">
        <f t="shared" si="468"/>
        <v>0</v>
      </c>
      <c r="AR81" s="115">
        <f t="shared" si="469"/>
        <v>0</v>
      </c>
      <c r="AS81" s="115">
        <f t="shared" si="470"/>
        <v>0</v>
      </c>
      <c r="AT81" s="115">
        <f t="shared" si="471"/>
        <v>0</v>
      </c>
      <c r="AU81" s="115">
        <f t="shared" si="472"/>
        <v>0</v>
      </c>
      <c r="AV81" s="115">
        <f t="shared" si="473"/>
        <v>0</v>
      </c>
      <c r="AW81" s="115">
        <f t="shared" si="474"/>
        <v>0</v>
      </c>
      <c r="AX81" s="115">
        <f t="shared" si="475"/>
        <v>0</v>
      </c>
      <c r="AY81" s="40"/>
    </row>
    <row r="82" spans="1:51" s="26" customFormat="1" ht="27.6" customHeight="1" outlineLevel="1" x14ac:dyDescent="0.3">
      <c r="A82" s="13"/>
      <c r="B82" s="13"/>
      <c r="C82" s="13"/>
      <c r="D82" s="69">
        <f t="shared" si="230"/>
        <v>12</v>
      </c>
      <c r="E82" s="70" t="s">
        <v>94</v>
      </c>
      <c r="F82" s="49">
        <v>0</v>
      </c>
      <c r="G82" s="95" t="str">
        <f t="shared" si="190"/>
        <v>YES</v>
      </c>
      <c r="H82" s="96">
        <v>43609</v>
      </c>
      <c r="I82" s="96">
        <v>43609</v>
      </c>
      <c r="J82" s="96">
        <f t="shared" si="193"/>
        <v>43609</v>
      </c>
      <c r="K82" s="35">
        <f t="shared" si="194"/>
        <v>43609</v>
      </c>
      <c r="L82" s="103">
        <v>1</v>
      </c>
      <c r="M82" s="103">
        <v>1</v>
      </c>
      <c r="N82" s="103">
        <v>2</v>
      </c>
      <c r="O82" s="103">
        <v>2</v>
      </c>
      <c r="P82" s="114">
        <f t="shared" si="441"/>
        <v>0</v>
      </c>
      <c r="Q82" s="115">
        <f t="shared" si="442"/>
        <v>0</v>
      </c>
      <c r="R82" s="115">
        <f t="shared" si="443"/>
        <v>0</v>
      </c>
      <c r="S82" s="115">
        <f t="shared" si="444"/>
        <v>0</v>
      </c>
      <c r="T82" s="115">
        <f t="shared" si="445"/>
        <v>0</v>
      </c>
      <c r="U82" s="115">
        <f t="shared" si="446"/>
        <v>0</v>
      </c>
      <c r="V82" s="116">
        <f t="shared" si="447"/>
        <v>0</v>
      </c>
      <c r="W82" s="114">
        <f t="shared" si="448"/>
        <v>0</v>
      </c>
      <c r="X82" s="117">
        <f t="shared" si="449"/>
        <v>0</v>
      </c>
      <c r="Y82" s="117">
        <f t="shared" si="450"/>
        <v>0</v>
      </c>
      <c r="Z82" s="117">
        <f t="shared" si="451"/>
        <v>0</v>
      </c>
      <c r="AA82" s="117">
        <f t="shared" si="452"/>
        <v>0</v>
      </c>
      <c r="AB82" s="117">
        <f t="shared" si="453"/>
        <v>0</v>
      </c>
      <c r="AC82" s="118">
        <f t="shared" si="454"/>
        <v>0</v>
      </c>
      <c r="AD82" s="114">
        <f t="shared" si="455"/>
        <v>0</v>
      </c>
      <c r="AE82" s="117">
        <f t="shared" si="456"/>
        <v>0</v>
      </c>
      <c r="AF82" s="117">
        <f t="shared" si="457"/>
        <v>0</v>
      </c>
      <c r="AG82" s="117">
        <f t="shared" si="458"/>
        <v>0</v>
      </c>
      <c r="AH82" s="117">
        <f t="shared" si="459"/>
        <v>0</v>
      </c>
      <c r="AI82" s="117">
        <f t="shared" si="460"/>
        <v>0</v>
      </c>
      <c r="AJ82" s="118">
        <f t="shared" si="461"/>
        <v>0</v>
      </c>
      <c r="AK82" s="114">
        <f t="shared" si="462"/>
        <v>0</v>
      </c>
      <c r="AL82" s="117">
        <f t="shared" si="463"/>
        <v>0</v>
      </c>
      <c r="AM82" s="117">
        <f t="shared" si="464"/>
        <v>0</v>
      </c>
      <c r="AN82" s="117">
        <f t="shared" si="465"/>
        <v>0</v>
      </c>
      <c r="AO82" s="117">
        <f t="shared" si="466"/>
        <v>0</v>
      </c>
      <c r="AP82" s="117">
        <f t="shared" si="467"/>
        <v>0</v>
      </c>
      <c r="AQ82" s="118">
        <f t="shared" si="468"/>
        <v>0</v>
      </c>
      <c r="AR82" s="115">
        <f t="shared" si="469"/>
        <v>0</v>
      </c>
      <c r="AS82" s="115">
        <f t="shared" si="470"/>
        <v>0</v>
      </c>
      <c r="AT82" s="115">
        <f t="shared" si="471"/>
        <v>0</v>
      </c>
      <c r="AU82" s="115">
        <f t="shared" si="472"/>
        <v>0</v>
      </c>
      <c r="AV82" s="115">
        <f t="shared" si="473"/>
        <v>0</v>
      </c>
      <c r="AW82" s="115">
        <f t="shared" si="474"/>
        <v>0</v>
      </c>
      <c r="AX82" s="115">
        <f t="shared" si="475"/>
        <v>0</v>
      </c>
      <c r="AY82" s="40"/>
    </row>
    <row r="83" spans="1:51" s="26" customFormat="1" ht="27.6" customHeight="1" outlineLevel="1" x14ac:dyDescent="0.3">
      <c r="A83" s="13"/>
      <c r="B83" s="13"/>
      <c r="C83" s="13"/>
      <c r="D83" s="69">
        <f t="shared" si="230"/>
        <v>13</v>
      </c>
      <c r="E83" s="70" t="s">
        <v>85</v>
      </c>
      <c r="F83" s="49">
        <v>0</v>
      </c>
      <c r="G83" s="95" t="str">
        <f t="shared" si="190"/>
        <v>YES</v>
      </c>
      <c r="H83" s="96">
        <v>43609</v>
      </c>
      <c r="I83" s="96">
        <v>43609</v>
      </c>
      <c r="J83" s="96">
        <f t="shared" si="193"/>
        <v>43610</v>
      </c>
      <c r="K83" s="35">
        <f t="shared" si="194"/>
        <v>43610</v>
      </c>
      <c r="L83" s="103">
        <v>2</v>
      </c>
      <c r="M83" s="103">
        <v>2</v>
      </c>
      <c r="N83" s="103">
        <v>2</v>
      </c>
      <c r="O83" s="103">
        <v>2</v>
      </c>
      <c r="P83" s="114">
        <f t="shared" si="441"/>
        <v>0</v>
      </c>
      <c r="Q83" s="115">
        <f t="shared" si="442"/>
        <v>0</v>
      </c>
      <c r="R83" s="115">
        <f t="shared" si="443"/>
        <v>0</v>
      </c>
      <c r="S83" s="115">
        <f t="shared" si="444"/>
        <v>0</v>
      </c>
      <c r="T83" s="115">
        <f t="shared" si="445"/>
        <v>0</v>
      </c>
      <c r="U83" s="115">
        <f t="shared" si="446"/>
        <v>0</v>
      </c>
      <c r="V83" s="116">
        <f t="shared" si="447"/>
        <v>0</v>
      </c>
      <c r="W83" s="114">
        <f t="shared" si="448"/>
        <v>0</v>
      </c>
      <c r="X83" s="117">
        <f t="shared" si="449"/>
        <v>0</v>
      </c>
      <c r="Y83" s="117">
        <f t="shared" si="450"/>
        <v>0</v>
      </c>
      <c r="Z83" s="117">
        <f t="shared" si="451"/>
        <v>0</v>
      </c>
      <c r="AA83" s="117">
        <f t="shared" si="452"/>
        <v>0</v>
      </c>
      <c r="AB83" s="117">
        <f t="shared" si="453"/>
        <v>0</v>
      </c>
      <c r="AC83" s="118">
        <f t="shared" si="454"/>
        <v>0</v>
      </c>
      <c r="AD83" s="114">
        <f t="shared" si="455"/>
        <v>0</v>
      </c>
      <c r="AE83" s="117">
        <f t="shared" si="456"/>
        <v>0</v>
      </c>
      <c r="AF83" s="117">
        <f t="shared" si="457"/>
        <v>0</v>
      </c>
      <c r="AG83" s="117">
        <f t="shared" si="458"/>
        <v>0</v>
      </c>
      <c r="AH83" s="117">
        <f t="shared" si="459"/>
        <v>0</v>
      </c>
      <c r="AI83" s="117">
        <f t="shared" si="460"/>
        <v>0</v>
      </c>
      <c r="AJ83" s="118">
        <f t="shared" si="461"/>
        <v>0</v>
      </c>
      <c r="AK83" s="114">
        <f t="shared" si="462"/>
        <v>0</v>
      </c>
      <c r="AL83" s="117">
        <f t="shared" si="463"/>
        <v>0</v>
      </c>
      <c r="AM83" s="117">
        <f t="shared" si="464"/>
        <v>0</v>
      </c>
      <c r="AN83" s="117">
        <f t="shared" si="465"/>
        <v>0</v>
      </c>
      <c r="AO83" s="117">
        <f t="shared" si="466"/>
        <v>0</v>
      </c>
      <c r="AP83" s="117">
        <f t="shared" si="467"/>
        <v>0</v>
      </c>
      <c r="AQ83" s="118">
        <f t="shared" si="468"/>
        <v>0</v>
      </c>
      <c r="AR83" s="115">
        <f t="shared" si="469"/>
        <v>0</v>
      </c>
      <c r="AS83" s="115">
        <f t="shared" si="470"/>
        <v>0</v>
      </c>
      <c r="AT83" s="115">
        <f t="shared" si="471"/>
        <v>0</v>
      </c>
      <c r="AU83" s="115">
        <f t="shared" si="472"/>
        <v>0</v>
      </c>
      <c r="AV83" s="115">
        <f t="shared" si="473"/>
        <v>0</v>
      </c>
      <c r="AW83" s="115">
        <f t="shared" si="474"/>
        <v>0</v>
      </c>
      <c r="AX83" s="115">
        <f t="shared" si="475"/>
        <v>0</v>
      </c>
      <c r="AY83" s="40"/>
    </row>
    <row r="84" spans="1:51" s="26" customFormat="1" ht="27.6" customHeight="1" outlineLevel="1" x14ac:dyDescent="0.3">
      <c r="A84" s="13"/>
      <c r="B84" s="13"/>
      <c r="C84" s="13"/>
      <c r="D84" s="69">
        <f t="shared" si="230"/>
        <v>14</v>
      </c>
      <c r="E84" s="70" t="s">
        <v>95</v>
      </c>
      <c r="F84" s="49">
        <v>0</v>
      </c>
      <c r="G84" s="95" t="str">
        <f t="shared" si="190"/>
        <v>YES</v>
      </c>
      <c r="H84" s="96">
        <v>43630</v>
      </c>
      <c r="I84" s="96">
        <v>43630</v>
      </c>
      <c r="J84" s="96">
        <f t="shared" si="193"/>
        <v>43630</v>
      </c>
      <c r="K84" s="35">
        <f t="shared" si="194"/>
        <v>43630</v>
      </c>
      <c r="L84" s="103">
        <v>1</v>
      </c>
      <c r="M84" s="103">
        <v>1</v>
      </c>
      <c r="N84" s="103">
        <v>2</v>
      </c>
      <c r="O84" s="103">
        <v>2</v>
      </c>
      <c r="P84" s="114">
        <f t="shared" ref="P84:P87" si="476">+IF(AND(P$16&gt;=$I84,P$16&lt;=$K84),"",0)</f>
        <v>0</v>
      </c>
      <c r="Q84" s="115">
        <f t="shared" ref="Q84:Q87" si="477">+IF(AND(Q$16&gt;=$I84,Q$16&lt;=$K84),"",0)</f>
        <v>0</v>
      </c>
      <c r="R84" s="115">
        <f t="shared" ref="R84:R87" si="478">+IF(AND(R$16&gt;=$I84,R$16&lt;=$K84),"",0)</f>
        <v>0</v>
      </c>
      <c r="S84" s="115">
        <f t="shared" ref="S84:S87" si="479">+IF(AND(S$16&gt;=$I84,S$16&lt;=$K84),"",0)</f>
        <v>0</v>
      </c>
      <c r="T84" s="115">
        <f t="shared" ref="T84:T87" si="480">+IF(AND(T$16&gt;=$I84,T$16&lt;=$K84),"",0)</f>
        <v>0</v>
      </c>
      <c r="U84" s="115">
        <f t="shared" ref="U84:U87" si="481">+IF(AND(U$16&gt;=$I84,U$16&lt;=$K84),"",0)</f>
        <v>0</v>
      </c>
      <c r="V84" s="116">
        <f t="shared" ref="V84:V87" si="482">+IF(AND(V$16&gt;=$I84,V$16&lt;=$K84),"",0)</f>
        <v>0</v>
      </c>
      <c r="W84" s="114">
        <f t="shared" ref="W84:W87" si="483">+IF(AND(W$16&gt;=$I84,W$16&lt;=$K84),"",0)</f>
        <v>0</v>
      </c>
      <c r="X84" s="117">
        <f t="shared" ref="X84:X87" si="484">+IF(AND(X$16&gt;=$I84,X$16&lt;=$K84),"",0)</f>
        <v>0</v>
      </c>
      <c r="Y84" s="117">
        <f t="shared" ref="Y84:Y87" si="485">+IF(AND(Y$16&gt;=$I84,Y$16&lt;=$K84),"",0)</f>
        <v>0</v>
      </c>
      <c r="Z84" s="117">
        <f t="shared" ref="Z84:Z87" si="486">+IF(AND(Z$16&gt;=$I84,Z$16&lt;=$K84),"",0)</f>
        <v>0</v>
      </c>
      <c r="AA84" s="117">
        <f t="shared" ref="AA84:AA87" si="487">+IF(AND(AA$16&gt;=$I84,AA$16&lt;=$K84),"",0)</f>
        <v>0</v>
      </c>
      <c r="AB84" s="117">
        <f t="shared" ref="AB84:AB87" si="488">+IF(AND(AB$16&gt;=$I84,AB$16&lt;=$K84),"",0)</f>
        <v>0</v>
      </c>
      <c r="AC84" s="118">
        <f t="shared" ref="AC84:AC87" si="489">+IF(AND(AC$16&gt;=$I84,AC$16&lt;=$K84),"",0)</f>
        <v>0</v>
      </c>
      <c r="AD84" s="114">
        <f t="shared" ref="AD84:AD87" si="490">+IF(AND(AD$16&gt;=$I84,AD$16&lt;=$K84),"",0)</f>
        <v>0</v>
      </c>
      <c r="AE84" s="117">
        <f t="shared" ref="AE84:AE87" si="491">+IF(AND(AE$16&gt;=$I84,AE$16&lt;=$K84),"",0)</f>
        <v>0</v>
      </c>
      <c r="AF84" s="117">
        <f t="shared" ref="AF84:AF87" si="492">+IF(AND(AF$16&gt;=$I84,AF$16&lt;=$K84),"",0)</f>
        <v>0</v>
      </c>
      <c r="AG84" s="117">
        <f t="shared" ref="AG84:AG87" si="493">+IF(AND(AG$16&gt;=$I84,AG$16&lt;=$K84),"",0)</f>
        <v>0</v>
      </c>
      <c r="AH84" s="117">
        <f t="shared" ref="AH84:AH87" si="494">+IF(AND(AH$16&gt;=$I84,AH$16&lt;=$K84),"",0)</f>
        <v>0</v>
      </c>
      <c r="AI84" s="117">
        <f t="shared" ref="AI84:AI87" si="495">+IF(AND(AI$16&gt;=$I84,AI$16&lt;=$K84),"",0)</f>
        <v>0</v>
      </c>
      <c r="AJ84" s="118">
        <f t="shared" ref="AJ84:AJ87" si="496">+IF(AND(AJ$16&gt;=$I84,AJ$16&lt;=$K84),"",0)</f>
        <v>0</v>
      </c>
      <c r="AK84" s="114">
        <f t="shared" ref="AK84:AK87" si="497">+IF(AND(AK$16&gt;=$I84,AK$16&lt;=$K84),"",0)</f>
        <v>0</v>
      </c>
      <c r="AL84" s="117">
        <f t="shared" ref="AL84:AL87" si="498">+IF(AND(AL$16&gt;=$I84,AL$16&lt;=$K84),"",0)</f>
        <v>0</v>
      </c>
      <c r="AM84" s="117">
        <f t="shared" ref="AM84:AM87" si="499">+IF(AND(AM$16&gt;=$I84,AM$16&lt;=$K84),"",0)</f>
        <v>0</v>
      </c>
      <c r="AN84" s="117">
        <f t="shared" ref="AN84:AN87" si="500">+IF(AND(AN$16&gt;=$I84,AN$16&lt;=$K84),"",0)</f>
        <v>0</v>
      </c>
      <c r="AO84" s="117">
        <f t="shared" ref="AO84:AO87" si="501">+IF(AND(AO$16&gt;=$I84,AO$16&lt;=$K84),"",0)</f>
        <v>0</v>
      </c>
      <c r="AP84" s="117">
        <f t="shared" ref="AP84:AP87" si="502">+IF(AND(AP$16&gt;=$I84,AP$16&lt;=$K84),"",0)</f>
        <v>0</v>
      </c>
      <c r="AQ84" s="118">
        <f t="shared" ref="AQ84:AQ87" si="503">+IF(AND(AQ$16&gt;=$I84,AQ$16&lt;=$K84),"",0)</f>
        <v>0</v>
      </c>
      <c r="AR84" s="115">
        <f t="shared" ref="AR84:AR87" si="504">+IF(AND(AR$16&gt;=$I84,AR$16&lt;=$K84),"",0)</f>
        <v>0</v>
      </c>
      <c r="AS84" s="115">
        <f t="shared" ref="AS84:AS87" si="505">+IF(AND(AS$16&gt;=$I84,AS$16&lt;=$K84),"",0)</f>
        <v>0</v>
      </c>
      <c r="AT84" s="115">
        <f t="shared" ref="AT84:AT87" si="506">+IF(AND(AT$16&gt;=$I84,AT$16&lt;=$K84),"",0)</f>
        <v>0</v>
      </c>
      <c r="AU84" s="115">
        <f t="shared" ref="AU84:AU87" si="507">+IF(AND(AU$16&gt;=$I84,AU$16&lt;=$K84),"",0)</f>
        <v>0</v>
      </c>
      <c r="AV84" s="115">
        <f t="shared" ref="AV84:AV87" si="508">+IF(AND(AV$16&gt;=$I84,AV$16&lt;=$K84),"",0)</f>
        <v>0</v>
      </c>
      <c r="AW84" s="115">
        <f t="shared" ref="AW84:AW87" si="509">+IF(AND(AW$16&gt;=$I84,AW$16&lt;=$K84),"",0)</f>
        <v>0</v>
      </c>
      <c r="AX84" s="115">
        <f t="shared" ref="AX84:AX87" si="510">+IF(AND(AX$16&gt;=$I84,AX$16&lt;=$K84),"",0)</f>
        <v>0</v>
      </c>
      <c r="AY84" s="40"/>
    </row>
    <row r="85" spans="1:51" s="26" customFormat="1" ht="27.6" customHeight="1" outlineLevel="1" x14ac:dyDescent="0.3">
      <c r="A85" s="13"/>
      <c r="B85" s="13"/>
      <c r="C85" s="13"/>
      <c r="D85" s="69">
        <f t="shared" si="230"/>
        <v>15</v>
      </c>
      <c r="E85" s="70" t="s">
        <v>86</v>
      </c>
      <c r="F85" s="49">
        <v>0</v>
      </c>
      <c r="G85" s="95" t="str">
        <f t="shared" si="190"/>
        <v>YES</v>
      </c>
      <c r="H85" s="96">
        <v>43689</v>
      </c>
      <c r="I85" s="96">
        <v>43689</v>
      </c>
      <c r="J85" s="96">
        <f t="shared" si="193"/>
        <v>43690</v>
      </c>
      <c r="K85" s="35">
        <f t="shared" si="194"/>
        <v>43690</v>
      </c>
      <c r="L85" s="103">
        <v>2</v>
      </c>
      <c r="M85" s="103">
        <v>2</v>
      </c>
      <c r="N85" s="103">
        <v>2</v>
      </c>
      <c r="O85" s="103">
        <v>2</v>
      </c>
      <c r="P85" s="114">
        <f t="shared" si="476"/>
        <v>0</v>
      </c>
      <c r="Q85" s="115">
        <f t="shared" si="477"/>
        <v>0</v>
      </c>
      <c r="R85" s="115">
        <f t="shared" si="478"/>
        <v>0</v>
      </c>
      <c r="S85" s="115">
        <f t="shared" si="479"/>
        <v>0</v>
      </c>
      <c r="T85" s="115">
        <f t="shared" si="480"/>
        <v>0</v>
      </c>
      <c r="U85" s="115">
        <f t="shared" si="481"/>
        <v>0</v>
      </c>
      <c r="V85" s="116">
        <f t="shared" si="482"/>
        <v>0</v>
      </c>
      <c r="W85" s="114">
        <f t="shared" si="483"/>
        <v>0</v>
      </c>
      <c r="X85" s="117">
        <f t="shared" si="484"/>
        <v>0</v>
      </c>
      <c r="Y85" s="117">
        <f t="shared" si="485"/>
        <v>0</v>
      </c>
      <c r="Z85" s="117">
        <f t="shared" si="486"/>
        <v>0</v>
      </c>
      <c r="AA85" s="117" t="str">
        <f t="shared" si="487"/>
        <v/>
      </c>
      <c r="AB85" s="117" t="str">
        <f t="shared" si="488"/>
        <v/>
      </c>
      <c r="AC85" s="118">
        <f t="shared" si="489"/>
        <v>0</v>
      </c>
      <c r="AD85" s="114">
        <f t="shared" si="490"/>
        <v>0</v>
      </c>
      <c r="AE85" s="117">
        <f t="shared" si="491"/>
        <v>0</v>
      </c>
      <c r="AF85" s="117">
        <f t="shared" si="492"/>
        <v>0</v>
      </c>
      <c r="AG85" s="117">
        <f t="shared" si="493"/>
        <v>0</v>
      </c>
      <c r="AH85" s="117">
        <f t="shared" si="494"/>
        <v>0</v>
      </c>
      <c r="AI85" s="117">
        <f t="shared" si="495"/>
        <v>0</v>
      </c>
      <c r="AJ85" s="118">
        <f t="shared" si="496"/>
        <v>0</v>
      </c>
      <c r="AK85" s="114">
        <f t="shared" si="497"/>
        <v>0</v>
      </c>
      <c r="AL85" s="117">
        <f t="shared" si="498"/>
        <v>0</v>
      </c>
      <c r="AM85" s="117">
        <f t="shared" si="499"/>
        <v>0</v>
      </c>
      <c r="AN85" s="117">
        <f t="shared" si="500"/>
        <v>0</v>
      </c>
      <c r="AO85" s="117">
        <f t="shared" si="501"/>
        <v>0</v>
      </c>
      <c r="AP85" s="117">
        <f t="shared" si="502"/>
        <v>0</v>
      </c>
      <c r="AQ85" s="118">
        <f t="shared" si="503"/>
        <v>0</v>
      </c>
      <c r="AR85" s="115">
        <f t="shared" si="504"/>
        <v>0</v>
      </c>
      <c r="AS85" s="115">
        <f t="shared" si="505"/>
        <v>0</v>
      </c>
      <c r="AT85" s="115">
        <f t="shared" si="506"/>
        <v>0</v>
      </c>
      <c r="AU85" s="115">
        <f t="shared" si="507"/>
        <v>0</v>
      </c>
      <c r="AV85" s="115">
        <f t="shared" si="508"/>
        <v>0</v>
      </c>
      <c r="AW85" s="115">
        <f t="shared" si="509"/>
        <v>0</v>
      </c>
      <c r="AX85" s="115">
        <f t="shared" si="510"/>
        <v>0</v>
      </c>
      <c r="AY85" s="40"/>
    </row>
    <row r="86" spans="1:51" s="26" customFormat="1" ht="27.6" customHeight="1" outlineLevel="1" x14ac:dyDescent="0.3">
      <c r="A86" s="13"/>
      <c r="B86" s="13"/>
      <c r="C86" s="13"/>
      <c r="D86" s="69">
        <f t="shared" si="230"/>
        <v>16</v>
      </c>
      <c r="E86" s="70" t="s">
        <v>96</v>
      </c>
      <c r="F86" s="49">
        <v>0</v>
      </c>
      <c r="G86" s="95" t="str">
        <f t="shared" si="190"/>
        <v>YES</v>
      </c>
      <c r="H86" s="96">
        <v>43690</v>
      </c>
      <c r="I86" s="96">
        <v>43690</v>
      </c>
      <c r="J86" s="96">
        <f t="shared" si="193"/>
        <v>43691</v>
      </c>
      <c r="K86" s="35">
        <f t="shared" si="194"/>
        <v>43691</v>
      </c>
      <c r="L86" s="103">
        <v>2</v>
      </c>
      <c r="M86" s="103">
        <v>2</v>
      </c>
      <c r="N86" s="103">
        <v>6</v>
      </c>
      <c r="O86" s="103">
        <v>6</v>
      </c>
      <c r="P86" s="114">
        <f t="shared" si="476"/>
        <v>0</v>
      </c>
      <c r="Q86" s="115">
        <f t="shared" si="477"/>
        <v>0</v>
      </c>
      <c r="R86" s="115">
        <f t="shared" si="478"/>
        <v>0</v>
      </c>
      <c r="S86" s="115">
        <f t="shared" si="479"/>
        <v>0</v>
      </c>
      <c r="T86" s="115">
        <f t="shared" si="480"/>
        <v>0</v>
      </c>
      <c r="U86" s="115">
        <f t="shared" si="481"/>
        <v>0</v>
      </c>
      <c r="V86" s="116">
        <f t="shared" si="482"/>
        <v>0</v>
      </c>
      <c r="W86" s="114">
        <f t="shared" si="483"/>
        <v>0</v>
      </c>
      <c r="X86" s="117">
        <f t="shared" si="484"/>
        <v>0</v>
      </c>
      <c r="Y86" s="117">
        <f t="shared" si="485"/>
        <v>0</v>
      </c>
      <c r="Z86" s="117">
        <f t="shared" si="486"/>
        <v>0</v>
      </c>
      <c r="AA86" s="117">
        <f t="shared" si="487"/>
        <v>0</v>
      </c>
      <c r="AB86" s="117" t="str">
        <f t="shared" si="488"/>
        <v/>
      </c>
      <c r="AC86" s="118" t="str">
        <f t="shared" si="489"/>
        <v/>
      </c>
      <c r="AD86" s="114">
        <f t="shared" si="490"/>
        <v>0</v>
      </c>
      <c r="AE86" s="117">
        <f t="shared" si="491"/>
        <v>0</v>
      </c>
      <c r="AF86" s="117">
        <f t="shared" si="492"/>
        <v>0</v>
      </c>
      <c r="AG86" s="117">
        <f t="shared" si="493"/>
        <v>0</v>
      </c>
      <c r="AH86" s="117">
        <f t="shared" si="494"/>
        <v>0</v>
      </c>
      <c r="AI86" s="117">
        <f t="shared" si="495"/>
        <v>0</v>
      </c>
      <c r="AJ86" s="118">
        <f t="shared" si="496"/>
        <v>0</v>
      </c>
      <c r="AK86" s="114">
        <f t="shared" si="497"/>
        <v>0</v>
      </c>
      <c r="AL86" s="117">
        <f t="shared" si="498"/>
        <v>0</v>
      </c>
      <c r="AM86" s="117">
        <f t="shared" si="499"/>
        <v>0</v>
      </c>
      <c r="AN86" s="117">
        <f t="shared" si="500"/>
        <v>0</v>
      </c>
      <c r="AO86" s="117">
        <f t="shared" si="501"/>
        <v>0</v>
      </c>
      <c r="AP86" s="117">
        <f t="shared" si="502"/>
        <v>0</v>
      </c>
      <c r="AQ86" s="118">
        <f t="shared" si="503"/>
        <v>0</v>
      </c>
      <c r="AR86" s="115">
        <f t="shared" si="504"/>
        <v>0</v>
      </c>
      <c r="AS86" s="115">
        <f t="shared" si="505"/>
        <v>0</v>
      </c>
      <c r="AT86" s="115">
        <f t="shared" si="506"/>
        <v>0</v>
      </c>
      <c r="AU86" s="115">
        <f t="shared" si="507"/>
        <v>0</v>
      </c>
      <c r="AV86" s="115">
        <f t="shared" si="508"/>
        <v>0</v>
      </c>
      <c r="AW86" s="115">
        <f t="shared" si="509"/>
        <v>0</v>
      </c>
      <c r="AX86" s="115">
        <f t="shared" si="510"/>
        <v>0</v>
      </c>
      <c r="AY86" s="40"/>
    </row>
    <row r="87" spans="1:51" s="26" customFormat="1" ht="27.6" customHeight="1" outlineLevel="1" x14ac:dyDescent="0.3">
      <c r="A87" s="13"/>
      <c r="B87" s="13"/>
      <c r="C87" s="13"/>
      <c r="D87" s="69">
        <f t="shared" si="230"/>
        <v>17</v>
      </c>
      <c r="E87" s="70" t="s">
        <v>87</v>
      </c>
      <c r="F87" s="49">
        <v>0</v>
      </c>
      <c r="G87" s="95" t="str">
        <f t="shared" si="190"/>
        <v>YES</v>
      </c>
      <c r="H87" s="96">
        <v>43690</v>
      </c>
      <c r="I87" s="96">
        <v>43690</v>
      </c>
      <c r="J87" s="96">
        <f t="shared" si="193"/>
        <v>43692</v>
      </c>
      <c r="K87" s="35">
        <f t="shared" si="194"/>
        <v>43692</v>
      </c>
      <c r="L87" s="103">
        <v>3</v>
      </c>
      <c r="M87" s="103">
        <v>3</v>
      </c>
      <c r="N87" s="103">
        <v>2</v>
      </c>
      <c r="O87" s="103">
        <v>2</v>
      </c>
      <c r="P87" s="114">
        <f t="shared" si="476"/>
        <v>0</v>
      </c>
      <c r="Q87" s="115">
        <f t="shared" si="477"/>
        <v>0</v>
      </c>
      <c r="R87" s="115">
        <f t="shared" si="478"/>
        <v>0</v>
      </c>
      <c r="S87" s="115">
        <f t="shared" si="479"/>
        <v>0</v>
      </c>
      <c r="T87" s="115">
        <f t="shared" si="480"/>
        <v>0</v>
      </c>
      <c r="U87" s="115">
        <f t="shared" si="481"/>
        <v>0</v>
      </c>
      <c r="V87" s="116">
        <f t="shared" si="482"/>
        <v>0</v>
      </c>
      <c r="W87" s="114">
        <f t="shared" si="483"/>
        <v>0</v>
      </c>
      <c r="X87" s="117">
        <f t="shared" si="484"/>
        <v>0</v>
      </c>
      <c r="Y87" s="117">
        <f t="shared" si="485"/>
        <v>0</v>
      </c>
      <c r="Z87" s="117">
        <f t="shared" si="486"/>
        <v>0</v>
      </c>
      <c r="AA87" s="117">
        <f t="shared" si="487"/>
        <v>0</v>
      </c>
      <c r="AB87" s="117" t="str">
        <f t="shared" si="488"/>
        <v/>
      </c>
      <c r="AC87" s="118" t="str">
        <f t="shared" si="489"/>
        <v/>
      </c>
      <c r="AD87" s="114" t="str">
        <f t="shared" si="490"/>
        <v/>
      </c>
      <c r="AE87" s="117">
        <f t="shared" si="491"/>
        <v>0</v>
      </c>
      <c r="AF87" s="117">
        <f t="shared" si="492"/>
        <v>0</v>
      </c>
      <c r="AG87" s="117">
        <f t="shared" si="493"/>
        <v>0</v>
      </c>
      <c r="AH87" s="117">
        <f t="shared" si="494"/>
        <v>0</v>
      </c>
      <c r="AI87" s="117">
        <f t="shared" si="495"/>
        <v>0</v>
      </c>
      <c r="AJ87" s="118">
        <f t="shared" si="496"/>
        <v>0</v>
      </c>
      <c r="AK87" s="114">
        <f t="shared" si="497"/>
        <v>0</v>
      </c>
      <c r="AL87" s="117">
        <f t="shared" si="498"/>
        <v>0</v>
      </c>
      <c r="AM87" s="117">
        <f t="shared" si="499"/>
        <v>0</v>
      </c>
      <c r="AN87" s="117">
        <f t="shared" si="500"/>
        <v>0</v>
      </c>
      <c r="AO87" s="117">
        <f t="shared" si="501"/>
        <v>0</v>
      </c>
      <c r="AP87" s="117">
        <f t="shared" si="502"/>
        <v>0</v>
      </c>
      <c r="AQ87" s="118">
        <f t="shared" si="503"/>
        <v>0</v>
      </c>
      <c r="AR87" s="115">
        <f t="shared" si="504"/>
        <v>0</v>
      </c>
      <c r="AS87" s="115">
        <f t="shared" si="505"/>
        <v>0</v>
      </c>
      <c r="AT87" s="115">
        <f t="shared" si="506"/>
        <v>0</v>
      </c>
      <c r="AU87" s="115">
        <f t="shared" si="507"/>
        <v>0</v>
      </c>
      <c r="AV87" s="115">
        <f t="shared" si="508"/>
        <v>0</v>
      </c>
      <c r="AW87" s="115">
        <f t="shared" si="509"/>
        <v>0</v>
      </c>
      <c r="AX87" s="115">
        <f t="shared" si="510"/>
        <v>0</v>
      </c>
      <c r="AY87" s="40"/>
    </row>
    <row r="88" spans="1:51" s="26" customFormat="1" ht="27.6" customHeight="1" outlineLevel="1" x14ac:dyDescent="0.3">
      <c r="A88" s="13"/>
      <c r="B88" s="13"/>
      <c r="C88" s="13"/>
      <c r="D88" s="69">
        <f t="shared" si="230"/>
        <v>18</v>
      </c>
      <c r="E88" s="70" t="s">
        <v>97</v>
      </c>
      <c r="F88" s="49">
        <v>0</v>
      </c>
      <c r="G88" s="95" t="str">
        <f t="shared" si="190"/>
        <v>YES</v>
      </c>
      <c r="H88" s="96">
        <v>43693</v>
      </c>
      <c r="I88" s="96">
        <v>43693</v>
      </c>
      <c r="J88" s="96">
        <f t="shared" si="193"/>
        <v>43693</v>
      </c>
      <c r="K88" s="35">
        <f t="shared" si="194"/>
        <v>43693</v>
      </c>
      <c r="L88" s="103">
        <v>1</v>
      </c>
      <c r="M88" s="103">
        <v>1</v>
      </c>
      <c r="N88" s="103">
        <v>4</v>
      </c>
      <c r="O88" s="103">
        <v>4</v>
      </c>
      <c r="P88" s="114">
        <f t="shared" ref="P88:P91" si="511">+IF(AND(P$16&gt;=$I88,P$16&lt;=$K88),"",0)</f>
        <v>0</v>
      </c>
      <c r="Q88" s="115">
        <f t="shared" ref="Q88:Q91" si="512">+IF(AND(Q$16&gt;=$I88,Q$16&lt;=$K88),"",0)</f>
        <v>0</v>
      </c>
      <c r="R88" s="115">
        <f t="shared" ref="R88:R91" si="513">+IF(AND(R$16&gt;=$I88,R$16&lt;=$K88),"",0)</f>
        <v>0</v>
      </c>
      <c r="S88" s="115">
        <f t="shared" ref="S88:S91" si="514">+IF(AND(S$16&gt;=$I88,S$16&lt;=$K88),"",0)</f>
        <v>0</v>
      </c>
      <c r="T88" s="115">
        <f t="shared" ref="T88:T91" si="515">+IF(AND(T$16&gt;=$I88,T$16&lt;=$K88),"",0)</f>
        <v>0</v>
      </c>
      <c r="U88" s="115">
        <f t="shared" ref="U88:U91" si="516">+IF(AND(U$16&gt;=$I88,U$16&lt;=$K88),"",0)</f>
        <v>0</v>
      </c>
      <c r="V88" s="116">
        <f t="shared" ref="V88:V91" si="517">+IF(AND(V$16&gt;=$I88,V$16&lt;=$K88),"",0)</f>
        <v>0</v>
      </c>
      <c r="W88" s="114">
        <f t="shared" ref="W88:W91" si="518">+IF(AND(W$16&gt;=$I88,W$16&lt;=$K88),"",0)</f>
        <v>0</v>
      </c>
      <c r="X88" s="117">
        <f t="shared" ref="X88:X91" si="519">+IF(AND(X$16&gt;=$I88,X$16&lt;=$K88),"",0)</f>
        <v>0</v>
      </c>
      <c r="Y88" s="117">
        <f t="shared" ref="Y88:Y91" si="520">+IF(AND(Y$16&gt;=$I88,Y$16&lt;=$K88),"",0)</f>
        <v>0</v>
      </c>
      <c r="Z88" s="117">
        <f t="shared" ref="Z88:Z91" si="521">+IF(AND(Z$16&gt;=$I88,Z$16&lt;=$K88),"",0)</f>
        <v>0</v>
      </c>
      <c r="AA88" s="117">
        <f t="shared" ref="AA88:AA91" si="522">+IF(AND(AA$16&gt;=$I88,AA$16&lt;=$K88),"",0)</f>
        <v>0</v>
      </c>
      <c r="AB88" s="117">
        <f t="shared" ref="AB88:AB91" si="523">+IF(AND(AB$16&gt;=$I88,AB$16&lt;=$K88),"",0)</f>
        <v>0</v>
      </c>
      <c r="AC88" s="118">
        <f t="shared" ref="AC88:AC91" si="524">+IF(AND(AC$16&gt;=$I88,AC$16&lt;=$K88),"",0)</f>
        <v>0</v>
      </c>
      <c r="AD88" s="114">
        <f t="shared" ref="AD88:AD91" si="525">+IF(AND(AD$16&gt;=$I88,AD$16&lt;=$K88),"",0)</f>
        <v>0</v>
      </c>
      <c r="AE88" s="117" t="str">
        <f t="shared" ref="AE88:AE91" si="526">+IF(AND(AE$16&gt;=$I88,AE$16&lt;=$K88),"",0)</f>
        <v/>
      </c>
      <c r="AF88" s="117">
        <f t="shared" ref="AF88:AF91" si="527">+IF(AND(AF$16&gt;=$I88,AF$16&lt;=$K88),"",0)</f>
        <v>0</v>
      </c>
      <c r="AG88" s="117">
        <f t="shared" ref="AG88:AG91" si="528">+IF(AND(AG$16&gt;=$I88,AG$16&lt;=$K88),"",0)</f>
        <v>0</v>
      </c>
      <c r="AH88" s="117">
        <f t="shared" ref="AH88:AH91" si="529">+IF(AND(AH$16&gt;=$I88,AH$16&lt;=$K88),"",0)</f>
        <v>0</v>
      </c>
      <c r="AI88" s="117">
        <f t="shared" ref="AI88:AI91" si="530">+IF(AND(AI$16&gt;=$I88,AI$16&lt;=$K88),"",0)</f>
        <v>0</v>
      </c>
      <c r="AJ88" s="118">
        <f t="shared" ref="AJ88:AJ91" si="531">+IF(AND(AJ$16&gt;=$I88,AJ$16&lt;=$K88),"",0)</f>
        <v>0</v>
      </c>
      <c r="AK88" s="114">
        <f t="shared" ref="AK88:AK91" si="532">+IF(AND(AK$16&gt;=$I88,AK$16&lt;=$K88),"",0)</f>
        <v>0</v>
      </c>
      <c r="AL88" s="117">
        <f t="shared" ref="AL88:AL91" si="533">+IF(AND(AL$16&gt;=$I88,AL$16&lt;=$K88),"",0)</f>
        <v>0</v>
      </c>
      <c r="AM88" s="117">
        <f t="shared" ref="AM88:AM91" si="534">+IF(AND(AM$16&gt;=$I88,AM$16&lt;=$K88),"",0)</f>
        <v>0</v>
      </c>
      <c r="AN88" s="117">
        <f t="shared" ref="AN88:AN91" si="535">+IF(AND(AN$16&gt;=$I88,AN$16&lt;=$K88),"",0)</f>
        <v>0</v>
      </c>
      <c r="AO88" s="117">
        <f t="shared" ref="AO88:AO91" si="536">+IF(AND(AO$16&gt;=$I88,AO$16&lt;=$K88),"",0)</f>
        <v>0</v>
      </c>
      <c r="AP88" s="117">
        <f t="shared" ref="AP88:AP91" si="537">+IF(AND(AP$16&gt;=$I88,AP$16&lt;=$K88),"",0)</f>
        <v>0</v>
      </c>
      <c r="AQ88" s="118">
        <f t="shared" ref="AQ88:AQ91" si="538">+IF(AND(AQ$16&gt;=$I88,AQ$16&lt;=$K88),"",0)</f>
        <v>0</v>
      </c>
      <c r="AR88" s="115">
        <f t="shared" ref="AR88:AR91" si="539">+IF(AND(AR$16&gt;=$I88,AR$16&lt;=$K88),"",0)</f>
        <v>0</v>
      </c>
      <c r="AS88" s="115">
        <f t="shared" ref="AS88:AS91" si="540">+IF(AND(AS$16&gt;=$I88,AS$16&lt;=$K88),"",0)</f>
        <v>0</v>
      </c>
      <c r="AT88" s="115">
        <f t="shared" ref="AT88:AT91" si="541">+IF(AND(AT$16&gt;=$I88,AT$16&lt;=$K88),"",0)</f>
        <v>0</v>
      </c>
      <c r="AU88" s="115">
        <f t="shared" ref="AU88:AU91" si="542">+IF(AND(AU$16&gt;=$I88,AU$16&lt;=$K88),"",0)</f>
        <v>0</v>
      </c>
      <c r="AV88" s="115">
        <f t="shared" ref="AV88:AV91" si="543">+IF(AND(AV$16&gt;=$I88,AV$16&lt;=$K88),"",0)</f>
        <v>0</v>
      </c>
      <c r="AW88" s="115">
        <f t="shared" ref="AW88:AW91" si="544">+IF(AND(AW$16&gt;=$I88,AW$16&lt;=$K88),"",0)</f>
        <v>0</v>
      </c>
      <c r="AX88" s="115">
        <f t="shared" ref="AX88:AX91" si="545">+IF(AND(AX$16&gt;=$I88,AX$16&lt;=$K88),"",0)</f>
        <v>0</v>
      </c>
      <c r="AY88" s="40"/>
    </row>
    <row r="89" spans="1:51" s="26" customFormat="1" ht="27.6" customHeight="1" outlineLevel="1" x14ac:dyDescent="0.3">
      <c r="A89" s="13"/>
      <c r="B89" s="13"/>
      <c r="C89" s="13"/>
      <c r="D89" s="69">
        <f t="shared" si="230"/>
        <v>19</v>
      </c>
      <c r="E89" s="70" t="s">
        <v>88</v>
      </c>
      <c r="F89" s="49">
        <v>0</v>
      </c>
      <c r="G89" s="95" t="str">
        <f t="shared" si="190"/>
        <v>YES</v>
      </c>
      <c r="H89" s="96">
        <v>43690</v>
      </c>
      <c r="I89" s="96">
        <v>43690</v>
      </c>
      <c r="J89" s="96">
        <f t="shared" si="193"/>
        <v>43691</v>
      </c>
      <c r="K89" s="35">
        <f t="shared" si="194"/>
        <v>43691</v>
      </c>
      <c r="L89" s="103">
        <v>2</v>
      </c>
      <c r="M89" s="103">
        <v>2</v>
      </c>
      <c r="N89" s="103">
        <v>2</v>
      </c>
      <c r="O89" s="103">
        <v>2</v>
      </c>
      <c r="P89" s="114">
        <f t="shared" si="511"/>
        <v>0</v>
      </c>
      <c r="Q89" s="115">
        <f t="shared" si="512"/>
        <v>0</v>
      </c>
      <c r="R89" s="115">
        <f t="shared" si="513"/>
        <v>0</v>
      </c>
      <c r="S89" s="115">
        <f t="shared" si="514"/>
        <v>0</v>
      </c>
      <c r="T89" s="115">
        <f t="shared" si="515"/>
        <v>0</v>
      </c>
      <c r="U89" s="115">
        <f t="shared" si="516"/>
        <v>0</v>
      </c>
      <c r="V89" s="116">
        <f t="shared" si="517"/>
        <v>0</v>
      </c>
      <c r="W89" s="114">
        <f t="shared" si="518"/>
        <v>0</v>
      </c>
      <c r="X89" s="117">
        <f t="shared" si="519"/>
        <v>0</v>
      </c>
      <c r="Y89" s="117">
        <f t="shared" si="520"/>
        <v>0</v>
      </c>
      <c r="Z89" s="117">
        <f t="shared" si="521"/>
        <v>0</v>
      </c>
      <c r="AA89" s="117">
        <f t="shared" si="522"/>
        <v>0</v>
      </c>
      <c r="AB89" s="117" t="str">
        <f t="shared" si="523"/>
        <v/>
      </c>
      <c r="AC89" s="118" t="str">
        <f t="shared" si="524"/>
        <v/>
      </c>
      <c r="AD89" s="114">
        <f t="shared" si="525"/>
        <v>0</v>
      </c>
      <c r="AE89" s="117">
        <f t="shared" si="526"/>
        <v>0</v>
      </c>
      <c r="AF89" s="117">
        <f t="shared" si="527"/>
        <v>0</v>
      </c>
      <c r="AG89" s="117">
        <f t="shared" si="528"/>
        <v>0</v>
      </c>
      <c r="AH89" s="117">
        <f t="shared" si="529"/>
        <v>0</v>
      </c>
      <c r="AI89" s="117">
        <f t="shared" si="530"/>
        <v>0</v>
      </c>
      <c r="AJ89" s="118">
        <f t="shared" si="531"/>
        <v>0</v>
      </c>
      <c r="AK89" s="114">
        <f t="shared" si="532"/>
        <v>0</v>
      </c>
      <c r="AL89" s="117">
        <f t="shared" si="533"/>
        <v>0</v>
      </c>
      <c r="AM89" s="117">
        <f t="shared" si="534"/>
        <v>0</v>
      </c>
      <c r="AN89" s="117">
        <f t="shared" si="535"/>
        <v>0</v>
      </c>
      <c r="AO89" s="117">
        <f t="shared" si="536"/>
        <v>0</v>
      </c>
      <c r="AP89" s="117">
        <f t="shared" si="537"/>
        <v>0</v>
      </c>
      <c r="AQ89" s="118">
        <f t="shared" si="538"/>
        <v>0</v>
      </c>
      <c r="AR89" s="115">
        <f t="shared" si="539"/>
        <v>0</v>
      </c>
      <c r="AS89" s="115">
        <f t="shared" si="540"/>
        <v>0</v>
      </c>
      <c r="AT89" s="115">
        <f t="shared" si="541"/>
        <v>0</v>
      </c>
      <c r="AU89" s="115">
        <f t="shared" si="542"/>
        <v>0</v>
      </c>
      <c r="AV89" s="115">
        <f t="shared" si="543"/>
        <v>0</v>
      </c>
      <c r="AW89" s="115">
        <f t="shared" si="544"/>
        <v>0</v>
      </c>
      <c r="AX89" s="115">
        <f t="shared" si="545"/>
        <v>0</v>
      </c>
      <c r="AY89" s="40"/>
    </row>
    <row r="90" spans="1:51" s="26" customFormat="1" ht="27.6" customHeight="1" outlineLevel="1" x14ac:dyDescent="0.3">
      <c r="A90" s="13"/>
      <c r="B90" s="13"/>
      <c r="C90" s="13"/>
      <c r="D90" s="69">
        <f t="shared" si="230"/>
        <v>20</v>
      </c>
      <c r="E90" s="70" t="s">
        <v>98</v>
      </c>
      <c r="F90" s="49">
        <v>0</v>
      </c>
      <c r="G90" s="95" t="str">
        <f t="shared" si="190"/>
        <v>YES</v>
      </c>
      <c r="H90" s="96">
        <v>43695</v>
      </c>
      <c r="I90" s="96">
        <v>43695</v>
      </c>
      <c r="J90" s="96">
        <f t="shared" si="193"/>
        <v>43695</v>
      </c>
      <c r="K90" s="35">
        <f t="shared" si="194"/>
        <v>43695</v>
      </c>
      <c r="L90" s="103">
        <v>1</v>
      </c>
      <c r="M90" s="103">
        <v>1</v>
      </c>
      <c r="N90" s="103">
        <v>8</v>
      </c>
      <c r="O90" s="103">
        <v>8</v>
      </c>
      <c r="P90" s="114">
        <f t="shared" si="511"/>
        <v>0</v>
      </c>
      <c r="Q90" s="115">
        <f t="shared" si="512"/>
        <v>0</v>
      </c>
      <c r="R90" s="115">
        <f t="shared" si="513"/>
        <v>0</v>
      </c>
      <c r="S90" s="115">
        <f t="shared" si="514"/>
        <v>0</v>
      </c>
      <c r="T90" s="115">
        <f t="shared" si="515"/>
        <v>0</v>
      </c>
      <c r="U90" s="115">
        <f t="shared" si="516"/>
        <v>0</v>
      </c>
      <c r="V90" s="116">
        <f t="shared" si="517"/>
        <v>0</v>
      </c>
      <c r="W90" s="114">
        <f t="shared" si="518"/>
        <v>0</v>
      </c>
      <c r="X90" s="117">
        <f t="shared" si="519"/>
        <v>0</v>
      </c>
      <c r="Y90" s="117">
        <f t="shared" si="520"/>
        <v>0</v>
      </c>
      <c r="Z90" s="117">
        <f t="shared" si="521"/>
        <v>0</v>
      </c>
      <c r="AA90" s="117">
        <f t="shared" si="522"/>
        <v>0</v>
      </c>
      <c r="AB90" s="117">
        <f t="shared" si="523"/>
        <v>0</v>
      </c>
      <c r="AC90" s="118">
        <f t="shared" si="524"/>
        <v>0</v>
      </c>
      <c r="AD90" s="114">
        <f t="shared" si="525"/>
        <v>0</v>
      </c>
      <c r="AE90" s="117">
        <f t="shared" si="526"/>
        <v>0</v>
      </c>
      <c r="AF90" s="117">
        <f t="shared" si="527"/>
        <v>0</v>
      </c>
      <c r="AG90" s="117" t="str">
        <f t="shared" si="528"/>
        <v/>
      </c>
      <c r="AH90" s="117">
        <f t="shared" si="529"/>
        <v>0</v>
      </c>
      <c r="AI90" s="117">
        <f t="shared" si="530"/>
        <v>0</v>
      </c>
      <c r="AJ90" s="118">
        <f t="shared" si="531"/>
        <v>0</v>
      </c>
      <c r="AK90" s="114">
        <f t="shared" si="532"/>
        <v>0</v>
      </c>
      <c r="AL90" s="117">
        <f t="shared" si="533"/>
        <v>0</v>
      </c>
      <c r="AM90" s="117">
        <f t="shared" si="534"/>
        <v>0</v>
      </c>
      <c r="AN90" s="117">
        <f t="shared" si="535"/>
        <v>0</v>
      </c>
      <c r="AO90" s="117">
        <f t="shared" si="536"/>
        <v>0</v>
      </c>
      <c r="AP90" s="117">
        <f t="shared" si="537"/>
        <v>0</v>
      </c>
      <c r="AQ90" s="118">
        <f t="shared" si="538"/>
        <v>0</v>
      </c>
      <c r="AR90" s="115">
        <f t="shared" si="539"/>
        <v>0</v>
      </c>
      <c r="AS90" s="115">
        <f t="shared" si="540"/>
        <v>0</v>
      </c>
      <c r="AT90" s="115">
        <f t="shared" si="541"/>
        <v>0</v>
      </c>
      <c r="AU90" s="115">
        <f t="shared" si="542"/>
        <v>0</v>
      </c>
      <c r="AV90" s="115">
        <f t="shared" si="543"/>
        <v>0</v>
      </c>
      <c r="AW90" s="115">
        <f t="shared" si="544"/>
        <v>0</v>
      </c>
      <c r="AX90" s="115">
        <f t="shared" si="545"/>
        <v>0</v>
      </c>
      <c r="AY90" s="40"/>
    </row>
    <row r="91" spans="1:51" s="26" customFormat="1" ht="27.6" customHeight="1" outlineLevel="1" x14ac:dyDescent="0.3">
      <c r="A91" s="13"/>
      <c r="B91" s="13"/>
      <c r="C91" s="13"/>
      <c r="D91" s="69">
        <f t="shared" si="230"/>
        <v>21</v>
      </c>
      <c r="E91" s="70" t="s">
        <v>56</v>
      </c>
      <c r="F91" s="49">
        <v>0</v>
      </c>
      <c r="G91" s="95" t="str">
        <f t="shared" si="190"/>
        <v>YES</v>
      </c>
      <c r="H91" s="96">
        <v>43728</v>
      </c>
      <c r="I91" s="96">
        <v>43728</v>
      </c>
      <c r="J91" s="96">
        <f t="shared" si="193"/>
        <v>43728</v>
      </c>
      <c r="K91" s="35">
        <f t="shared" si="194"/>
        <v>43728</v>
      </c>
      <c r="L91" s="103">
        <v>1</v>
      </c>
      <c r="M91" s="103">
        <v>1</v>
      </c>
      <c r="N91" s="103">
        <v>2</v>
      </c>
      <c r="O91" s="103">
        <v>2</v>
      </c>
      <c r="P91" s="114">
        <f t="shared" si="511"/>
        <v>0</v>
      </c>
      <c r="Q91" s="115">
        <f t="shared" si="512"/>
        <v>0</v>
      </c>
      <c r="R91" s="115">
        <f t="shared" si="513"/>
        <v>0</v>
      </c>
      <c r="S91" s="115">
        <f t="shared" si="514"/>
        <v>0</v>
      </c>
      <c r="T91" s="115">
        <f t="shared" si="515"/>
        <v>0</v>
      </c>
      <c r="U91" s="115">
        <f t="shared" si="516"/>
        <v>0</v>
      </c>
      <c r="V91" s="116">
        <f t="shared" si="517"/>
        <v>0</v>
      </c>
      <c r="W91" s="114">
        <f t="shared" si="518"/>
        <v>0</v>
      </c>
      <c r="X91" s="117">
        <f t="shared" si="519"/>
        <v>0</v>
      </c>
      <c r="Y91" s="117">
        <f t="shared" si="520"/>
        <v>0</v>
      </c>
      <c r="Z91" s="117">
        <f t="shared" si="521"/>
        <v>0</v>
      </c>
      <c r="AA91" s="117">
        <f t="shared" si="522"/>
        <v>0</v>
      </c>
      <c r="AB91" s="117">
        <f t="shared" si="523"/>
        <v>0</v>
      </c>
      <c r="AC91" s="118">
        <f t="shared" si="524"/>
        <v>0</v>
      </c>
      <c r="AD91" s="114">
        <f t="shared" si="525"/>
        <v>0</v>
      </c>
      <c r="AE91" s="117">
        <f t="shared" si="526"/>
        <v>0</v>
      </c>
      <c r="AF91" s="117">
        <f t="shared" si="527"/>
        <v>0</v>
      </c>
      <c r="AG91" s="117">
        <f t="shared" si="528"/>
        <v>0</v>
      </c>
      <c r="AH91" s="117">
        <f t="shared" si="529"/>
        <v>0</v>
      </c>
      <c r="AI91" s="117">
        <f t="shared" si="530"/>
        <v>0</v>
      </c>
      <c r="AJ91" s="118">
        <f t="shared" si="531"/>
        <v>0</v>
      </c>
      <c r="AK91" s="114">
        <f t="shared" si="532"/>
        <v>0</v>
      </c>
      <c r="AL91" s="117">
        <f t="shared" si="533"/>
        <v>0</v>
      </c>
      <c r="AM91" s="117">
        <f t="shared" si="534"/>
        <v>0</v>
      </c>
      <c r="AN91" s="117">
        <f t="shared" si="535"/>
        <v>0</v>
      </c>
      <c r="AO91" s="117">
        <f t="shared" si="536"/>
        <v>0</v>
      </c>
      <c r="AP91" s="117">
        <f t="shared" si="537"/>
        <v>0</v>
      </c>
      <c r="AQ91" s="118">
        <f t="shared" si="538"/>
        <v>0</v>
      </c>
      <c r="AR91" s="115">
        <f t="shared" si="539"/>
        <v>0</v>
      </c>
      <c r="AS91" s="115">
        <f t="shared" si="540"/>
        <v>0</v>
      </c>
      <c r="AT91" s="115">
        <f t="shared" si="541"/>
        <v>0</v>
      </c>
      <c r="AU91" s="115">
        <f t="shared" si="542"/>
        <v>0</v>
      </c>
      <c r="AV91" s="115">
        <f t="shared" si="543"/>
        <v>0</v>
      </c>
      <c r="AW91" s="115">
        <f t="shared" si="544"/>
        <v>0</v>
      </c>
      <c r="AX91" s="115">
        <f t="shared" si="545"/>
        <v>0</v>
      </c>
      <c r="AY91" s="40"/>
    </row>
    <row r="92" spans="1:51" s="200" customFormat="1" ht="27.6" customHeight="1" outlineLevel="1" x14ac:dyDescent="0.3">
      <c r="A92" s="191"/>
      <c r="B92" s="191"/>
      <c r="C92" s="191"/>
      <c r="D92" s="170" t="s">
        <v>113</v>
      </c>
      <c r="E92" s="171" t="s">
        <v>103</v>
      </c>
      <c r="F92" s="172"/>
      <c r="G92" s="173" t="str">
        <f t="shared" si="190"/>
        <v>YES</v>
      </c>
      <c r="H92" s="174"/>
      <c r="I92" s="174"/>
      <c r="J92" s="176"/>
      <c r="K92" s="177"/>
      <c r="L92" s="194"/>
      <c r="M92" s="194"/>
      <c r="N92" s="194"/>
      <c r="O92" s="194"/>
      <c r="P92" s="195">
        <f t="shared" ref="P92:P95" si="546">+IF(AND(P$16&gt;=$I92,P$16&lt;=$K92),"",0)</f>
        <v>0</v>
      </c>
      <c r="Q92" s="196">
        <f t="shared" ref="Q92:Q95" si="547">+IF(AND(Q$16&gt;=$I92,Q$16&lt;=$K92),"",0)</f>
        <v>0</v>
      </c>
      <c r="R92" s="196">
        <f t="shared" ref="R92:R95" si="548">+IF(AND(R$16&gt;=$I92,R$16&lt;=$K92),"",0)</f>
        <v>0</v>
      </c>
      <c r="S92" s="196">
        <f t="shared" ref="S92:S95" si="549">+IF(AND(S$16&gt;=$I92,S$16&lt;=$K92),"",0)</f>
        <v>0</v>
      </c>
      <c r="T92" s="196">
        <f t="shared" ref="T92:T95" si="550">+IF(AND(T$16&gt;=$I92,T$16&lt;=$K92),"",0)</f>
        <v>0</v>
      </c>
      <c r="U92" s="196">
        <f t="shared" ref="U92:U95" si="551">+IF(AND(U$16&gt;=$I92,U$16&lt;=$K92),"",0)</f>
        <v>0</v>
      </c>
      <c r="V92" s="197">
        <f t="shared" ref="V92:V95" si="552">+IF(AND(V$16&gt;=$I92,V$16&lt;=$K92),"",0)</f>
        <v>0</v>
      </c>
      <c r="W92" s="195">
        <f t="shared" ref="W92:W95" si="553">+IF(AND(W$16&gt;=$I92,W$16&lt;=$K92),"",0)</f>
        <v>0</v>
      </c>
      <c r="X92" s="198">
        <f t="shared" ref="X92:X95" si="554">+IF(AND(X$16&gt;=$I92,X$16&lt;=$K92),"",0)</f>
        <v>0</v>
      </c>
      <c r="Y92" s="198">
        <f t="shared" ref="Y92:Y95" si="555">+IF(AND(Y$16&gt;=$I92,Y$16&lt;=$K92),"",0)</f>
        <v>0</v>
      </c>
      <c r="Z92" s="198">
        <f t="shared" ref="Z92:Z95" si="556">+IF(AND(Z$16&gt;=$I92,Z$16&lt;=$K92),"",0)</f>
        <v>0</v>
      </c>
      <c r="AA92" s="198">
        <f t="shared" ref="AA92:AA95" si="557">+IF(AND(AA$16&gt;=$I92,AA$16&lt;=$K92),"",0)</f>
        <v>0</v>
      </c>
      <c r="AB92" s="198">
        <f t="shared" ref="AB92:AB95" si="558">+IF(AND(AB$16&gt;=$I92,AB$16&lt;=$K92),"",0)</f>
        <v>0</v>
      </c>
      <c r="AC92" s="199">
        <f t="shared" ref="AC92:AC95" si="559">+IF(AND(AC$16&gt;=$I92,AC$16&lt;=$K92),"",0)</f>
        <v>0</v>
      </c>
      <c r="AD92" s="195">
        <f t="shared" ref="AD92:AD95" si="560">+IF(AND(AD$16&gt;=$I92,AD$16&lt;=$K92),"",0)</f>
        <v>0</v>
      </c>
      <c r="AE92" s="198">
        <f t="shared" ref="AE92:AE95" si="561">+IF(AND(AE$16&gt;=$I92,AE$16&lt;=$K92),"",0)</f>
        <v>0</v>
      </c>
      <c r="AF92" s="198">
        <f t="shared" ref="AF92:AF95" si="562">+IF(AND(AF$16&gt;=$I92,AF$16&lt;=$K92),"",0)</f>
        <v>0</v>
      </c>
      <c r="AG92" s="198">
        <f t="shared" ref="AG92:AG95" si="563">+IF(AND(AG$16&gt;=$I92,AG$16&lt;=$K92),"",0)</f>
        <v>0</v>
      </c>
      <c r="AH92" s="198">
        <f t="shared" ref="AH92:AH95" si="564">+IF(AND(AH$16&gt;=$I92,AH$16&lt;=$K92),"",0)</f>
        <v>0</v>
      </c>
      <c r="AI92" s="198">
        <f t="shared" ref="AI92:AI95" si="565">+IF(AND(AI$16&gt;=$I92,AI$16&lt;=$K92),"",0)</f>
        <v>0</v>
      </c>
      <c r="AJ92" s="199">
        <f t="shared" ref="AJ92:AJ95" si="566">+IF(AND(AJ$16&gt;=$I92,AJ$16&lt;=$K92),"",0)</f>
        <v>0</v>
      </c>
      <c r="AK92" s="195">
        <f t="shared" ref="AK92:AK95" si="567">+IF(AND(AK$16&gt;=$I92,AK$16&lt;=$K92),"",0)</f>
        <v>0</v>
      </c>
      <c r="AL92" s="198">
        <f t="shared" ref="AL92:AL95" si="568">+IF(AND(AL$16&gt;=$I92,AL$16&lt;=$K92),"",0)</f>
        <v>0</v>
      </c>
      <c r="AM92" s="198">
        <f t="shared" ref="AM92:AM95" si="569">+IF(AND(AM$16&gt;=$I92,AM$16&lt;=$K92),"",0)</f>
        <v>0</v>
      </c>
      <c r="AN92" s="198">
        <f t="shared" ref="AN92:AN95" si="570">+IF(AND(AN$16&gt;=$I92,AN$16&lt;=$K92),"",0)</f>
        <v>0</v>
      </c>
      <c r="AO92" s="198">
        <f t="shared" ref="AO92:AO95" si="571">+IF(AND(AO$16&gt;=$I92,AO$16&lt;=$K92),"",0)</f>
        <v>0</v>
      </c>
      <c r="AP92" s="198">
        <f t="shared" ref="AP92:AP95" si="572">+IF(AND(AP$16&gt;=$I92,AP$16&lt;=$K92),"",0)</f>
        <v>0</v>
      </c>
      <c r="AQ92" s="199">
        <f t="shared" ref="AQ92:AQ95" si="573">+IF(AND(AQ$16&gt;=$I92,AQ$16&lt;=$K92),"",0)</f>
        <v>0</v>
      </c>
      <c r="AR92" s="196">
        <f t="shared" ref="AR92:AR95" si="574">+IF(AND(AR$16&gt;=$I92,AR$16&lt;=$K92),"",0)</f>
        <v>0</v>
      </c>
      <c r="AS92" s="196">
        <f t="shared" ref="AS92:AS95" si="575">+IF(AND(AS$16&gt;=$I92,AS$16&lt;=$K92),"",0)</f>
        <v>0</v>
      </c>
      <c r="AT92" s="196">
        <f t="shared" ref="AT92:AT95" si="576">+IF(AND(AT$16&gt;=$I92,AT$16&lt;=$K92),"",0)</f>
        <v>0</v>
      </c>
      <c r="AU92" s="196">
        <f t="shared" ref="AU92:AU95" si="577">+IF(AND(AU$16&gt;=$I92,AU$16&lt;=$K92),"",0)</f>
        <v>0</v>
      </c>
      <c r="AV92" s="196">
        <f t="shared" ref="AV92:AV95" si="578">+IF(AND(AV$16&gt;=$I92,AV$16&lt;=$K92),"",0)</f>
        <v>0</v>
      </c>
      <c r="AW92" s="196">
        <f t="shared" ref="AW92:AW95" si="579">+IF(AND(AW$16&gt;=$I92,AW$16&lt;=$K92),"",0)</f>
        <v>0</v>
      </c>
      <c r="AX92" s="196">
        <f t="shared" ref="AX92:AX95" si="580">+IF(AND(AX$16&gt;=$I92,AX$16&lt;=$K92),"",0)</f>
        <v>0</v>
      </c>
      <c r="AY92" s="187"/>
    </row>
    <row r="93" spans="1:51" s="26" customFormat="1" ht="27.6" customHeight="1" outlineLevel="1" x14ac:dyDescent="0.3">
      <c r="A93" s="13"/>
      <c r="B93" s="13"/>
      <c r="C93" s="13"/>
      <c r="D93" s="69">
        <v>1</v>
      </c>
      <c r="E93" s="70" t="s">
        <v>79</v>
      </c>
      <c r="F93" s="49">
        <v>0</v>
      </c>
      <c r="G93" s="95" t="str">
        <f t="shared" si="190"/>
        <v>YES</v>
      </c>
      <c r="H93" s="96">
        <v>43689</v>
      </c>
      <c r="I93" s="96">
        <v>43689</v>
      </c>
      <c r="J93" s="96">
        <f t="shared" si="193"/>
        <v>43690</v>
      </c>
      <c r="K93" s="35">
        <f t="shared" si="194"/>
        <v>43690</v>
      </c>
      <c r="L93" s="103">
        <v>2</v>
      </c>
      <c r="M93" s="103">
        <v>2</v>
      </c>
      <c r="N93" s="103">
        <v>4</v>
      </c>
      <c r="O93" s="103">
        <v>4</v>
      </c>
      <c r="P93" s="114">
        <f t="shared" si="546"/>
        <v>0</v>
      </c>
      <c r="Q93" s="115">
        <f t="shared" si="547"/>
        <v>0</v>
      </c>
      <c r="R93" s="115">
        <f t="shared" si="548"/>
        <v>0</v>
      </c>
      <c r="S93" s="115">
        <f t="shared" si="549"/>
        <v>0</v>
      </c>
      <c r="T93" s="115">
        <f t="shared" si="550"/>
        <v>0</v>
      </c>
      <c r="U93" s="115">
        <f t="shared" si="551"/>
        <v>0</v>
      </c>
      <c r="V93" s="116">
        <f t="shared" si="552"/>
        <v>0</v>
      </c>
      <c r="W93" s="114">
        <f t="shared" si="553"/>
        <v>0</v>
      </c>
      <c r="X93" s="117">
        <f t="shared" si="554"/>
        <v>0</v>
      </c>
      <c r="Y93" s="117">
        <f t="shared" si="555"/>
        <v>0</v>
      </c>
      <c r="Z93" s="117">
        <f t="shared" si="556"/>
        <v>0</v>
      </c>
      <c r="AA93" s="117" t="str">
        <f t="shared" si="557"/>
        <v/>
      </c>
      <c r="AB93" s="117" t="str">
        <f t="shared" si="558"/>
        <v/>
      </c>
      <c r="AC93" s="118">
        <f t="shared" si="559"/>
        <v>0</v>
      </c>
      <c r="AD93" s="114">
        <f t="shared" si="560"/>
        <v>0</v>
      </c>
      <c r="AE93" s="117">
        <f t="shared" si="561"/>
        <v>0</v>
      </c>
      <c r="AF93" s="117">
        <f t="shared" si="562"/>
        <v>0</v>
      </c>
      <c r="AG93" s="117">
        <f t="shared" si="563"/>
        <v>0</v>
      </c>
      <c r="AH93" s="117">
        <f t="shared" si="564"/>
        <v>0</v>
      </c>
      <c r="AI93" s="117">
        <f t="shared" si="565"/>
        <v>0</v>
      </c>
      <c r="AJ93" s="118">
        <f t="shared" si="566"/>
        <v>0</v>
      </c>
      <c r="AK93" s="114">
        <f t="shared" si="567"/>
        <v>0</v>
      </c>
      <c r="AL93" s="117">
        <f t="shared" si="568"/>
        <v>0</v>
      </c>
      <c r="AM93" s="117">
        <f t="shared" si="569"/>
        <v>0</v>
      </c>
      <c r="AN93" s="117">
        <f t="shared" si="570"/>
        <v>0</v>
      </c>
      <c r="AO93" s="117">
        <f t="shared" si="571"/>
        <v>0</v>
      </c>
      <c r="AP93" s="117">
        <f t="shared" si="572"/>
        <v>0</v>
      </c>
      <c r="AQ93" s="118">
        <f t="shared" si="573"/>
        <v>0</v>
      </c>
      <c r="AR93" s="115">
        <f t="shared" si="574"/>
        <v>0</v>
      </c>
      <c r="AS93" s="115">
        <f t="shared" si="575"/>
        <v>0</v>
      </c>
      <c r="AT93" s="115">
        <f t="shared" si="576"/>
        <v>0</v>
      </c>
      <c r="AU93" s="115">
        <f t="shared" si="577"/>
        <v>0</v>
      </c>
      <c r="AV93" s="115">
        <f t="shared" si="578"/>
        <v>0</v>
      </c>
      <c r="AW93" s="115">
        <f t="shared" si="579"/>
        <v>0</v>
      </c>
      <c r="AX93" s="115">
        <f t="shared" si="580"/>
        <v>0</v>
      </c>
      <c r="AY93" s="40"/>
    </row>
    <row r="94" spans="1:51" s="26" customFormat="1" ht="27.6" customHeight="1" outlineLevel="1" x14ac:dyDescent="0.3">
      <c r="A94" s="13"/>
      <c r="B94" s="13"/>
      <c r="C94" s="13"/>
      <c r="D94" s="69">
        <f t="shared" si="230"/>
        <v>2</v>
      </c>
      <c r="E94" s="70" t="s">
        <v>89</v>
      </c>
      <c r="F94" s="49">
        <v>0</v>
      </c>
      <c r="G94" s="95" t="str">
        <f t="shared" si="190"/>
        <v>YES</v>
      </c>
      <c r="H94" s="96">
        <v>43692</v>
      </c>
      <c r="I94" s="96">
        <v>43692</v>
      </c>
      <c r="J94" s="96">
        <f t="shared" si="193"/>
        <v>43693</v>
      </c>
      <c r="K94" s="35">
        <f t="shared" si="194"/>
        <v>43693</v>
      </c>
      <c r="L94" s="103">
        <v>2</v>
      </c>
      <c r="M94" s="103">
        <v>2</v>
      </c>
      <c r="N94" s="103">
        <v>4</v>
      </c>
      <c r="O94" s="103">
        <v>4</v>
      </c>
      <c r="P94" s="114">
        <f t="shared" si="546"/>
        <v>0</v>
      </c>
      <c r="Q94" s="115">
        <f t="shared" si="547"/>
        <v>0</v>
      </c>
      <c r="R94" s="115">
        <f t="shared" si="548"/>
        <v>0</v>
      </c>
      <c r="S94" s="115">
        <f t="shared" si="549"/>
        <v>0</v>
      </c>
      <c r="T94" s="115">
        <f t="shared" si="550"/>
        <v>0</v>
      </c>
      <c r="U94" s="115">
        <f t="shared" si="551"/>
        <v>0</v>
      </c>
      <c r="V94" s="116">
        <f t="shared" si="552"/>
        <v>0</v>
      </c>
      <c r="W94" s="114">
        <f t="shared" si="553"/>
        <v>0</v>
      </c>
      <c r="X94" s="117">
        <f t="shared" si="554"/>
        <v>0</v>
      </c>
      <c r="Y94" s="117">
        <f t="shared" si="555"/>
        <v>0</v>
      </c>
      <c r="Z94" s="117">
        <f t="shared" si="556"/>
        <v>0</v>
      </c>
      <c r="AA94" s="117">
        <f t="shared" si="557"/>
        <v>0</v>
      </c>
      <c r="AB94" s="117">
        <f t="shared" si="558"/>
        <v>0</v>
      </c>
      <c r="AC94" s="118">
        <f t="shared" si="559"/>
        <v>0</v>
      </c>
      <c r="AD94" s="114" t="str">
        <f t="shared" si="560"/>
        <v/>
      </c>
      <c r="AE94" s="117" t="str">
        <f t="shared" si="561"/>
        <v/>
      </c>
      <c r="AF94" s="117">
        <f t="shared" si="562"/>
        <v>0</v>
      </c>
      <c r="AG94" s="117">
        <f t="shared" si="563"/>
        <v>0</v>
      </c>
      <c r="AH94" s="117">
        <f t="shared" si="564"/>
        <v>0</v>
      </c>
      <c r="AI94" s="117">
        <f t="shared" si="565"/>
        <v>0</v>
      </c>
      <c r="AJ94" s="118">
        <f t="shared" si="566"/>
        <v>0</v>
      </c>
      <c r="AK94" s="114">
        <f t="shared" si="567"/>
        <v>0</v>
      </c>
      <c r="AL94" s="117">
        <f t="shared" si="568"/>
        <v>0</v>
      </c>
      <c r="AM94" s="117">
        <f t="shared" si="569"/>
        <v>0</v>
      </c>
      <c r="AN94" s="117">
        <f t="shared" si="570"/>
        <v>0</v>
      </c>
      <c r="AO94" s="117">
        <f t="shared" si="571"/>
        <v>0</v>
      </c>
      <c r="AP94" s="117">
        <f t="shared" si="572"/>
        <v>0</v>
      </c>
      <c r="AQ94" s="118">
        <f t="shared" si="573"/>
        <v>0</v>
      </c>
      <c r="AR94" s="115">
        <f t="shared" si="574"/>
        <v>0</v>
      </c>
      <c r="AS94" s="115">
        <f t="shared" si="575"/>
        <v>0</v>
      </c>
      <c r="AT94" s="115">
        <f t="shared" si="576"/>
        <v>0</v>
      </c>
      <c r="AU94" s="115">
        <f t="shared" si="577"/>
        <v>0</v>
      </c>
      <c r="AV94" s="115">
        <f t="shared" si="578"/>
        <v>0</v>
      </c>
      <c r="AW94" s="115">
        <f t="shared" si="579"/>
        <v>0</v>
      </c>
      <c r="AX94" s="115">
        <f t="shared" si="580"/>
        <v>0</v>
      </c>
      <c r="AY94" s="40"/>
    </row>
    <row r="95" spans="1:51" s="26" customFormat="1" ht="27.6" customHeight="1" outlineLevel="1" x14ac:dyDescent="0.3">
      <c r="A95" s="13"/>
      <c r="B95" s="13"/>
      <c r="C95" s="13"/>
      <c r="D95" s="69">
        <f t="shared" si="230"/>
        <v>3</v>
      </c>
      <c r="E95" s="70" t="s">
        <v>80</v>
      </c>
      <c r="F95" s="49">
        <v>0</v>
      </c>
      <c r="G95" s="95" t="str">
        <f t="shared" si="190"/>
        <v>YES</v>
      </c>
      <c r="H95" s="96">
        <v>43606</v>
      </c>
      <c r="I95" s="96">
        <v>43606</v>
      </c>
      <c r="J95" s="96">
        <f t="shared" si="193"/>
        <v>43607</v>
      </c>
      <c r="K95" s="35">
        <f t="shared" si="194"/>
        <v>43607</v>
      </c>
      <c r="L95" s="103">
        <v>2</v>
      </c>
      <c r="M95" s="103">
        <v>2</v>
      </c>
      <c r="N95" s="103">
        <v>4</v>
      </c>
      <c r="O95" s="103">
        <v>4</v>
      </c>
      <c r="P95" s="114">
        <f t="shared" si="546"/>
        <v>0</v>
      </c>
      <c r="Q95" s="115">
        <f t="shared" si="547"/>
        <v>0</v>
      </c>
      <c r="R95" s="115">
        <f t="shared" si="548"/>
        <v>0</v>
      </c>
      <c r="S95" s="115">
        <f t="shared" si="549"/>
        <v>0</v>
      </c>
      <c r="T95" s="115">
        <f t="shared" si="550"/>
        <v>0</v>
      </c>
      <c r="U95" s="115">
        <f t="shared" si="551"/>
        <v>0</v>
      </c>
      <c r="V95" s="116">
        <f t="shared" si="552"/>
        <v>0</v>
      </c>
      <c r="W95" s="114">
        <f t="shared" si="553"/>
        <v>0</v>
      </c>
      <c r="X95" s="117">
        <f t="shared" si="554"/>
        <v>0</v>
      </c>
      <c r="Y95" s="117">
        <f t="shared" si="555"/>
        <v>0</v>
      </c>
      <c r="Z95" s="117">
        <f t="shared" si="556"/>
        <v>0</v>
      </c>
      <c r="AA95" s="117">
        <f t="shared" si="557"/>
        <v>0</v>
      </c>
      <c r="AB95" s="117">
        <f t="shared" si="558"/>
        <v>0</v>
      </c>
      <c r="AC95" s="118">
        <f t="shared" si="559"/>
        <v>0</v>
      </c>
      <c r="AD95" s="114">
        <f t="shared" si="560"/>
        <v>0</v>
      </c>
      <c r="AE95" s="117">
        <f t="shared" si="561"/>
        <v>0</v>
      </c>
      <c r="AF95" s="117">
        <f t="shared" si="562"/>
        <v>0</v>
      </c>
      <c r="AG95" s="117">
        <f t="shared" si="563"/>
        <v>0</v>
      </c>
      <c r="AH95" s="117">
        <f t="shared" si="564"/>
        <v>0</v>
      </c>
      <c r="AI95" s="117">
        <f t="shared" si="565"/>
        <v>0</v>
      </c>
      <c r="AJ95" s="118">
        <f t="shared" si="566"/>
        <v>0</v>
      </c>
      <c r="AK95" s="114">
        <f t="shared" si="567"/>
        <v>0</v>
      </c>
      <c r="AL95" s="117">
        <f t="shared" si="568"/>
        <v>0</v>
      </c>
      <c r="AM95" s="117">
        <f t="shared" si="569"/>
        <v>0</v>
      </c>
      <c r="AN95" s="117">
        <f t="shared" si="570"/>
        <v>0</v>
      </c>
      <c r="AO95" s="117">
        <f t="shared" si="571"/>
        <v>0</v>
      </c>
      <c r="AP95" s="117">
        <f t="shared" si="572"/>
        <v>0</v>
      </c>
      <c r="AQ95" s="118">
        <f t="shared" si="573"/>
        <v>0</v>
      </c>
      <c r="AR95" s="115">
        <f t="shared" si="574"/>
        <v>0</v>
      </c>
      <c r="AS95" s="115">
        <f t="shared" si="575"/>
        <v>0</v>
      </c>
      <c r="AT95" s="115">
        <f t="shared" si="576"/>
        <v>0</v>
      </c>
      <c r="AU95" s="115">
        <f t="shared" si="577"/>
        <v>0</v>
      </c>
      <c r="AV95" s="115">
        <f t="shared" si="578"/>
        <v>0</v>
      </c>
      <c r="AW95" s="115">
        <f t="shared" si="579"/>
        <v>0</v>
      </c>
      <c r="AX95" s="115">
        <f t="shared" si="580"/>
        <v>0</v>
      </c>
      <c r="AY95" s="40"/>
    </row>
    <row r="96" spans="1:51" s="26" customFormat="1" ht="27.6" customHeight="1" outlineLevel="1" x14ac:dyDescent="0.3">
      <c r="A96" s="13"/>
      <c r="B96" s="13"/>
      <c r="C96" s="13"/>
      <c r="D96" s="69">
        <f t="shared" si="230"/>
        <v>4</v>
      </c>
      <c r="E96" s="70" t="s">
        <v>90</v>
      </c>
      <c r="F96" s="49">
        <v>0</v>
      </c>
      <c r="G96" s="95" t="str">
        <f t="shared" si="190"/>
        <v>YES</v>
      </c>
      <c r="H96" s="96">
        <v>43609</v>
      </c>
      <c r="I96" s="96">
        <v>43609</v>
      </c>
      <c r="J96" s="96">
        <f t="shared" si="193"/>
        <v>43610</v>
      </c>
      <c r="K96" s="35">
        <f t="shared" si="194"/>
        <v>43610</v>
      </c>
      <c r="L96" s="103">
        <v>2</v>
      </c>
      <c r="M96" s="103">
        <v>2</v>
      </c>
      <c r="N96" s="103">
        <v>4</v>
      </c>
      <c r="O96" s="103">
        <v>4</v>
      </c>
      <c r="P96" s="114">
        <f t="shared" ref="P96:P99" si="581">+IF(AND(P$16&gt;=$I96,P$16&lt;=$K96),"",0)</f>
        <v>0</v>
      </c>
      <c r="Q96" s="115">
        <f t="shared" ref="Q96:Q99" si="582">+IF(AND(Q$16&gt;=$I96,Q$16&lt;=$K96),"",0)</f>
        <v>0</v>
      </c>
      <c r="R96" s="115">
        <f t="shared" ref="R96:R99" si="583">+IF(AND(R$16&gt;=$I96,R$16&lt;=$K96),"",0)</f>
        <v>0</v>
      </c>
      <c r="S96" s="115">
        <f t="shared" ref="S96:S99" si="584">+IF(AND(S$16&gt;=$I96,S$16&lt;=$K96),"",0)</f>
        <v>0</v>
      </c>
      <c r="T96" s="115">
        <f t="shared" ref="T96:T99" si="585">+IF(AND(T$16&gt;=$I96,T$16&lt;=$K96),"",0)</f>
        <v>0</v>
      </c>
      <c r="U96" s="115">
        <f t="shared" ref="U96:U99" si="586">+IF(AND(U$16&gt;=$I96,U$16&lt;=$K96),"",0)</f>
        <v>0</v>
      </c>
      <c r="V96" s="116">
        <f t="shared" ref="V96:V99" si="587">+IF(AND(V$16&gt;=$I96,V$16&lt;=$K96),"",0)</f>
        <v>0</v>
      </c>
      <c r="W96" s="114">
        <f t="shared" ref="W96:W99" si="588">+IF(AND(W$16&gt;=$I96,W$16&lt;=$K96),"",0)</f>
        <v>0</v>
      </c>
      <c r="X96" s="117">
        <f t="shared" ref="X96:X99" si="589">+IF(AND(X$16&gt;=$I96,X$16&lt;=$K96),"",0)</f>
        <v>0</v>
      </c>
      <c r="Y96" s="117">
        <f t="shared" ref="Y96:Y99" si="590">+IF(AND(Y$16&gt;=$I96,Y$16&lt;=$K96),"",0)</f>
        <v>0</v>
      </c>
      <c r="Z96" s="117">
        <f t="shared" ref="Z96:Z99" si="591">+IF(AND(Z$16&gt;=$I96,Z$16&lt;=$K96),"",0)</f>
        <v>0</v>
      </c>
      <c r="AA96" s="117">
        <f t="shared" ref="AA96:AA99" si="592">+IF(AND(AA$16&gt;=$I96,AA$16&lt;=$K96),"",0)</f>
        <v>0</v>
      </c>
      <c r="AB96" s="117">
        <f t="shared" ref="AB96:AB99" si="593">+IF(AND(AB$16&gt;=$I96,AB$16&lt;=$K96),"",0)</f>
        <v>0</v>
      </c>
      <c r="AC96" s="118">
        <f t="shared" ref="AC96:AC99" si="594">+IF(AND(AC$16&gt;=$I96,AC$16&lt;=$K96),"",0)</f>
        <v>0</v>
      </c>
      <c r="AD96" s="114">
        <f t="shared" ref="AD96:AD99" si="595">+IF(AND(AD$16&gt;=$I96,AD$16&lt;=$K96),"",0)</f>
        <v>0</v>
      </c>
      <c r="AE96" s="117">
        <f t="shared" ref="AE96:AE99" si="596">+IF(AND(AE$16&gt;=$I96,AE$16&lt;=$K96),"",0)</f>
        <v>0</v>
      </c>
      <c r="AF96" s="117">
        <f t="shared" ref="AF96:AF99" si="597">+IF(AND(AF$16&gt;=$I96,AF$16&lt;=$K96),"",0)</f>
        <v>0</v>
      </c>
      <c r="AG96" s="117">
        <f t="shared" ref="AG96:AG99" si="598">+IF(AND(AG$16&gt;=$I96,AG$16&lt;=$K96),"",0)</f>
        <v>0</v>
      </c>
      <c r="AH96" s="117">
        <f t="shared" ref="AH96:AH99" si="599">+IF(AND(AH$16&gt;=$I96,AH$16&lt;=$K96),"",0)</f>
        <v>0</v>
      </c>
      <c r="AI96" s="117">
        <f t="shared" ref="AI96:AI99" si="600">+IF(AND(AI$16&gt;=$I96,AI$16&lt;=$K96),"",0)</f>
        <v>0</v>
      </c>
      <c r="AJ96" s="118">
        <f t="shared" ref="AJ96:AJ99" si="601">+IF(AND(AJ$16&gt;=$I96,AJ$16&lt;=$K96),"",0)</f>
        <v>0</v>
      </c>
      <c r="AK96" s="114">
        <f t="shared" ref="AK96:AK99" si="602">+IF(AND(AK$16&gt;=$I96,AK$16&lt;=$K96),"",0)</f>
        <v>0</v>
      </c>
      <c r="AL96" s="117">
        <f t="shared" ref="AL96:AL99" si="603">+IF(AND(AL$16&gt;=$I96,AL$16&lt;=$K96),"",0)</f>
        <v>0</v>
      </c>
      <c r="AM96" s="117">
        <f t="shared" ref="AM96:AM99" si="604">+IF(AND(AM$16&gt;=$I96,AM$16&lt;=$K96),"",0)</f>
        <v>0</v>
      </c>
      <c r="AN96" s="117">
        <f t="shared" ref="AN96:AN99" si="605">+IF(AND(AN$16&gt;=$I96,AN$16&lt;=$K96),"",0)</f>
        <v>0</v>
      </c>
      <c r="AO96" s="117">
        <f t="shared" ref="AO96:AO99" si="606">+IF(AND(AO$16&gt;=$I96,AO$16&lt;=$K96),"",0)</f>
        <v>0</v>
      </c>
      <c r="AP96" s="117">
        <f t="shared" ref="AP96:AP99" si="607">+IF(AND(AP$16&gt;=$I96,AP$16&lt;=$K96),"",0)</f>
        <v>0</v>
      </c>
      <c r="AQ96" s="118">
        <f t="shared" ref="AQ96:AQ99" si="608">+IF(AND(AQ$16&gt;=$I96,AQ$16&lt;=$K96),"",0)</f>
        <v>0</v>
      </c>
      <c r="AR96" s="115">
        <f t="shared" ref="AR96:AR99" si="609">+IF(AND(AR$16&gt;=$I96,AR$16&lt;=$K96),"",0)</f>
        <v>0</v>
      </c>
      <c r="AS96" s="115">
        <f t="shared" ref="AS96:AS99" si="610">+IF(AND(AS$16&gt;=$I96,AS$16&lt;=$K96),"",0)</f>
        <v>0</v>
      </c>
      <c r="AT96" s="115">
        <f t="shared" ref="AT96:AT99" si="611">+IF(AND(AT$16&gt;=$I96,AT$16&lt;=$K96),"",0)</f>
        <v>0</v>
      </c>
      <c r="AU96" s="115">
        <f t="shared" ref="AU96:AU99" si="612">+IF(AND(AU$16&gt;=$I96,AU$16&lt;=$K96),"",0)</f>
        <v>0</v>
      </c>
      <c r="AV96" s="115">
        <f t="shared" ref="AV96:AV99" si="613">+IF(AND(AV$16&gt;=$I96,AV$16&lt;=$K96),"",0)</f>
        <v>0</v>
      </c>
      <c r="AW96" s="115">
        <f t="shared" ref="AW96:AW99" si="614">+IF(AND(AW$16&gt;=$I96,AW$16&lt;=$K96),"",0)</f>
        <v>0</v>
      </c>
      <c r="AX96" s="115">
        <f t="shared" ref="AX96:AX99" si="615">+IF(AND(AX$16&gt;=$I96,AX$16&lt;=$K96),"",0)</f>
        <v>0</v>
      </c>
      <c r="AY96" s="40"/>
    </row>
    <row r="97" spans="1:51" s="26" customFormat="1" ht="27.6" customHeight="1" outlineLevel="1" x14ac:dyDescent="0.3">
      <c r="A97" s="13"/>
      <c r="B97" s="13"/>
      <c r="C97" s="13"/>
      <c r="D97" s="69">
        <f t="shared" si="230"/>
        <v>5</v>
      </c>
      <c r="E97" s="70" t="s">
        <v>81</v>
      </c>
      <c r="F97" s="49">
        <v>0</v>
      </c>
      <c r="G97" s="95" t="str">
        <f t="shared" si="190"/>
        <v>YES</v>
      </c>
      <c r="H97" s="96">
        <v>43689</v>
      </c>
      <c r="I97" s="96">
        <v>43689</v>
      </c>
      <c r="J97" s="96">
        <f t="shared" si="193"/>
        <v>43690</v>
      </c>
      <c r="K97" s="35">
        <f t="shared" si="194"/>
        <v>43690</v>
      </c>
      <c r="L97" s="103">
        <v>2</v>
      </c>
      <c r="M97" s="103">
        <v>2</v>
      </c>
      <c r="N97" s="103">
        <v>2</v>
      </c>
      <c r="O97" s="103">
        <v>2</v>
      </c>
      <c r="P97" s="114">
        <f t="shared" si="581"/>
        <v>0</v>
      </c>
      <c r="Q97" s="115">
        <f t="shared" si="582"/>
        <v>0</v>
      </c>
      <c r="R97" s="115">
        <f t="shared" si="583"/>
        <v>0</v>
      </c>
      <c r="S97" s="115">
        <f t="shared" si="584"/>
        <v>0</v>
      </c>
      <c r="T97" s="115">
        <f t="shared" si="585"/>
        <v>0</v>
      </c>
      <c r="U97" s="115">
        <f t="shared" si="586"/>
        <v>0</v>
      </c>
      <c r="V97" s="116">
        <f t="shared" si="587"/>
        <v>0</v>
      </c>
      <c r="W97" s="114">
        <f t="shared" si="588"/>
        <v>0</v>
      </c>
      <c r="X97" s="117">
        <f t="shared" si="589"/>
        <v>0</v>
      </c>
      <c r="Y97" s="117">
        <f t="shared" si="590"/>
        <v>0</v>
      </c>
      <c r="Z97" s="117">
        <f t="shared" si="591"/>
        <v>0</v>
      </c>
      <c r="AA97" s="117" t="str">
        <f t="shared" si="592"/>
        <v/>
      </c>
      <c r="AB97" s="117" t="str">
        <f t="shared" si="593"/>
        <v/>
      </c>
      <c r="AC97" s="118">
        <f t="shared" si="594"/>
        <v>0</v>
      </c>
      <c r="AD97" s="114">
        <f t="shared" si="595"/>
        <v>0</v>
      </c>
      <c r="AE97" s="117">
        <f t="shared" si="596"/>
        <v>0</v>
      </c>
      <c r="AF97" s="117">
        <f t="shared" si="597"/>
        <v>0</v>
      </c>
      <c r="AG97" s="117">
        <f t="shared" si="598"/>
        <v>0</v>
      </c>
      <c r="AH97" s="117">
        <f t="shared" si="599"/>
        <v>0</v>
      </c>
      <c r="AI97" s="117">
        <f t="shared" si="600"/>
        <v>0</v>
      </c>
      <c r="AJ97" s="118">
        <f t="shared" si="601"/>
        <v>0</v>
      </c>
      <c r="AK97" s="114">
        <f t="shared" si="602"/>
        <v>0</v>
      </c>
      <c r="AL97" s="117">
        <f t="shared" si="603"/>
        <v>0</v>
      </c>
      <c r="AM97" s="117">
        <f t="shared" si="604"/>
        <v>0</v>
      </c>
      <c r="AN97" s="117">
        <f t="shared" si="605"/>
        <v>0</v>
      </c>
      <c r="AO97" s="117">
        <f t="shared" si="606"/>
        <v>0</v>
      </c>
      <c r="AP97" s="117">
        <f t="shared" si="607"/>
        <v>0</v>
      </c>
      <c r="AQ97" s="118">
        <f t="shared" si="608"/>
        <v>0</v>
      </c>
      <c r="AR97" s="115">
        <f t="shared" si="609"/>
        <v>0</v>
      </c>
      <c r="AS97" s="115">
        <f t="shared" si="610"/>
        <v>0</v>
      </c>
      <c r="AT97" s="115">
        <f t="shared" si="611"/>
        <v>0</v>
      </c>
      <c r="AU97" s="115">
        <f t="shared" si="612"/>
        <v>0</v>
      </c>
      <c r="AV97" s="115">
        <f t="shared" si="613"/>
        <v>0</v>
      </c>
      <c r="AW97" s="115">
        <f t="shared" si="614"/>
        <v>0</v>
      </c>
      <c r="AX97" s="115">
        <f t="shared" si="615"/>
        <v>0</v>
      </c>
      <c r="AY97" s="40"/>
    </row>
    <row r="98" spans="1:51" s="26" customFormat="1" ht="27.6" customHeight="1" outlineLevel="1" x14ac:dyDescent="0.3">
      <c r="A98" s="13"/>
      <c r="B98" s="13"/>
      <c r="C98" s="13"/>
      <c r="D98" s="69">
        <f t="shared" si="230"/>
        <v>6</v>
      </c>
      <c r="E98" s="70" t="s">
        <v>91</v>
      </c>
      <c r="F98" s="49">
        <v>0</v>
      </c>
      <c r="G98" s="95" t="str">
        <f t="shared" si="190"/>
        <v>YES</v>
      </c>
      <c r="H98" s="96">
        <v>43690</v>
      </c>
      <c r="I98" s="96">
        <v>43690</v>
      </c>
      <c r="J98" s="96">
        <f t="shared" si="193"/>
        <v>43691</v>
      </c>
      <c r="K98" s="35">
        <f t="shared" si="194"/>
        <v>43691</v>
      </c>
      <c r="L98" s="103">
        <v>2</v>
      </c>
      <c r="M98" s="103">
        <v>2</v>
      </c>
      <c r="N98" s="103">
        <v>4</v>
      </c>
      <c r="O98" s="103">
        <v>4</v>
      </c>
      <c r="P98" s="114">
        <f t="shared" si="581"/>
        <v>0</v>
      </c>
      <c r="Q98" s="115">
        <f t="shared" si="582"/>
        <v>0</v>
      </c>
      <c r="R98" s="115">
        <f t="shared" si="583"/>
        <v>0</v>
      </c>
      <c r="S98" s="115">
        <f t="shared" si="584"/>
        <v>0</v>
      </c>
      <c r="T98" s="115">
        <f t="shared" si="585"/>
        <v>0</v>
      </c>
      <c r="U98" s="115">
        <f t="shared" si="586"/>
        <v>0</v>
      </c>
      <c r="V98" s="116">
        <f t="shared" si="587"/>
        <v>0</v>
      </c>
      <c r="W98" s="114">
        <f t="shared" si="588"/>
        <v>0</v>
      </c>
      <c r="X98" s="117">
        <f t="shared" si="589"/>
        <v>0</v>
      </c>
      <c r="Y98" s="117">
        <f t="shared" si="590"/>
        <v>0</v>
      </c>
      <c r="Z98" s="117">
        <f t="shared" si="591"/>
        <v>0</v>
      </c>
      <c r="AA98" s="117">
        <f t="shared" si="592"/>
        <v>0</v>
      </c>
      <c r="AB98" s="117" t="str">
        <f t="shared" si="593"/>
        <v/>
      </c>
      <c r="AC98" s="118" t="str">
        <f t="shared" si="594"/>
        <v/>
      </c>
      <c r="AD98" s="114">
        <f t="shared" si="595"/>
        <v>0</v>
      </c>
      <c r="AE98" s="117">
        <f t="shared" si="596"/>
        <v>0</v>
      </c>
      <c r="AF98" s="117">
        <f t="shared" si="597"/>
        <v>0</v>
      </c>
      <c r="AG98" s="117">
        <f t="shared" si="598"/>
        <v>0</v>
      </c>
      <c r="AH98" s="117">
        <f t="shared" si="599"/>
        <v>0</v>
      </c>
      <c r="AI98" s="117">
        <f t="shared" si="600"/>
        <v>0</v>
      </c>
      <c r="AJ98" s="118">
        <f t="shared" si="601"/>
        <v>0</v>
      </c>
      <c r="AK98" s="114">
        <f t="shared" si="602"/>
        <v>0</v>
      </c>
      <c r="AL98" s="117">
        <f t="shared" si="603"/>
        <v>0</v>
      </c>
      <c r="AM98" s="117">
        <f t="shared" si="604"/>
        <v>0</v>
      </c>
      <c r="AN98" s="117">
        <f t="shared" si="605"/>
        <v>0</v>
      </c>
      <c r="AO98" s="117">
        <f t="shared" si="606"/>
        <v>0</v>
      </c>
      <c r="AP98" s="117">
        <f t="shared" si="607"/>
        <v>0</v>
      </c>
      <c r="AQ98" s="118">
        <f t="shared" si="608"/>
        <v>0</v>
      </c>
      <c r="AR98" s="115">
        <f t="shared" si="609"/>
        <v>0</v>
      </c>
      <c r="AS98" s="115">
        <f t="shared" si="610"/>
        <v>0</v>
      </c>
      <c r="AT98" s="115">
        <f t="shared" si="611"/>
        <v>0</v>
      </c>
      <c r="AU98" s="115">
        <f t="shared" si="612"/>
        <v>0</v>
      </c>
      <c r="AV98" s="115">
        <f t="shared" si="613"/>
        <v>0</v>
      </c>
      <c r="AW98" s="115">
        <f t="shared" si="614"/>
        <v>0</v>
      </c>
      <c r="AX98" s="115">
        <f t="shared" si="615"/>
        <v>0</v>
      </c>
      <c r="AY98" s="40"/>
    </row>
    <row r="99" spans="1:51" s="26" customFormat="1" ht="27.6" customHeight="1" outlineLevel="1" x14ac:dyDescent="0.3">
      <c r="A99" s="13"/>
      <c r="B99" s="13"/>
      <c r="C99" s="13"/>
      <c r="D99" s="69">
        <f t="shared" si="230"/>
        <v>7</v>
      </c>
      <c r="E99" s="70" t="s">
        <v>82</v>
      </c>
      <c r="F99" s="49">
        <v>0</v>
      </c>
      <c r="G99" s="95" t="str">
        <f t="shared" si="190"/>
        <v>YES</v>
      </c>
      <c r="H99" s="96">
        <v>43639</v>
      </c>
      <c r="I99" s="96">
        <v>43639</v>
      </c>
      <c r="J99" s="96">
        <f t="shared" si="193"/>
        <v>43640</v>
      </c>
      <c r="K99" s="35">
        <f t="shared" si="194"/>
        <v>43640</v>
      </c>
      <c r="L99" s="103">
        <v>2</v>
      </c>
      <c r="M99" s="103">
        <v>2</v>
      </c>
      <c r="N99" s="103">
        <v>4</v>
      </c>
      <c r="O99" s="103">
        <v>4</v>
      </c>
      <c r="P99" s="114">
        <f t="shared" si="581"/>
        <v>0</v>
      </c>
      <c r="Q99" s="115">
        <f t="shared" si="582"/>
        <v>0</v>
      </c>
      <c r="R99" s="115">
        <f t="shared" si="583"/>
        <v>0</v>
      </c>
      <c r="S99" s="115">
        <f t="shared" si="584"/>
        <v>0</v>
      </c>
      <c r="T99" s="115">
        <f t="shared" si="585"/>
        <v>0</v>
      </c>
      <c r="U99" s="115">
        <f t="shared" si="586"/>
        <v>0</v>
      </c>
      <c r="V99" s="116">
        <f t="shared" si="587"/>
        <v>0</v>
      </c>
      <c r="W99" s="114">
        <f t="shared" si="588"/>
        <v>0</v>
      </c>
      <c r="X99" s="117">
        <f t="shared" si="589"/>
        <v>0</v>
      </c>
      <c r="Y99" s="117">
        <f t="shared" si="590"/>
        <v>0</v>
      </c>
      <c r="Z99" s="117">
        <f t="shared" si="591"/>
        <v>0</v>
      </c>
      <c r="AA99" s="117">
        <f t="shared" si="592"/>
        <v>0</v>
      </c>
      <c r="AB99" s="117">
        <f t="shared" si="593"/>
        <v>0</v>
      </c>
      <c r="AC99" s="118">
        <f t="shared" si="594"/>
        <v>0</v>
      </c>
      <c r="AD99" s="114">
        <f t="shared" si="595"/>
        <v>0</v>
      </c>
      <c r="AE99" s="117">
        <f t="shared" si="596"/>
        <v>0</v>
      </c>
      <c r="AF99" s="117">
        <f t="shared" si="597"/>
        <v>0</v>
      </c>
      <c r="AG99" s="117">
        <f t="shared" si="598"/>
        <v>0</v>
      </c>
      <c r="AH99" s="117">
        <f t="shared" si="599"/>
        <v>0</v>
      </c>
      <c r="AI99" s="117">
        <f t="shared" si="600"/>
        <v>0</v>
      </c>
      <c r="AJ99" s="118">
        <f t="shared" si="601"/>
        <v>0</v>
      </c>
      <c r="AK99" s="114">
        <f t="shared" si="602"/>
        <v>0</v>
      </c>
      <c r="AL99" s="117">
        <f t="shared" si="603"/>
        <v>0</v>
      </c>
      <c r="AM99" s="117">
        <f t="shared" si="604"/>
        <v>0</v>
      </c>
      <c r="AN99" s="117">
        <f t="shared" si="605"/>
        <v>0</v>
      </c>
      <c r="AO99" s="117">
        <f t="shared" si="606"/>
        <v>0</v>
      </c>
      <c r="AP99" s="117">
        <f t="shared" si="607"/>
        <v>0</v>
      </c>
      <c r="AQ99" s="118">
        <f t="shared" si="608"/>
        <v>0</v>
      </c>
      <c r="AR99" s="115">
        <f t="shared" si="609"/>
        <v>0</v>
      </c>
      <c r="AS99" s="115">
        <f t="shared" si="610"/>
        <v>0</v>
      </c>
      <c r="AT99" s="115">
        <f t="shared" si="611"/>
        <v>0</v>
      </c>
      <c r="AU99" s="115">
        <f t="shared" si="612"/>
        <v>0</v>
      </c>
      <c r="AV99" s="115">
        <f t="shared" si="613"/>
        <v>0</v>
      </c>
      <c r="AW99" s="115">
        <f t="shared" si="614"/>
        <v>0</v>
      </c>
      <c r="AX99" s="115">
        <f t="shared" si="615"/>
        <v>0</v>
      </c>
      <c r="AY99" s="40"/>
    </row>
    <row r="100" spans="1:51" s="26" customFormat="1" ht="27.6" customHeight="1" outlineLevel="1" x14ac:dyDescent="0.3">
      <c r="A100" s="13"/>
      <c r="B100" s="13"/>
      <c r="C100" s="13"/>
      <c r="D100" s="69">
        <f t="shared" si="230"/>
        <v>8</v>
      </c>
      <c r="E100" s="70" t="s">
        <v>92</v>
      </c>
      <c r="F100" s="49">
        <v>0</v>
      </c>
      <c r="G100" s="95" t="str">
        <f t="shared" si="190"/>
        <v>YES</v>
      </c>
      <c r="H100" s="96">
        <v>43642</v>
      </c>
      <c r="I100" s="96">
        <v>43642</v>
      </c>
      <c r="J100" s="96">
        <f t="shared" si="193"/>
        <v>43644</v>
      </c>
      <c r="K100" s="35">
        <f t="shared" si="194"/>
        <v>43644</v>
      </c>
      <c r="L100" s="103">
        <v>3</v>
      </c>
      <c r="M100" s="103">
        <v>3</v>
      </c>
      <c r="N100" s="103">
        <v>4</v>
      </c>
      <c r="O100" s="103">
        <v>4</v>
      </c>
      <c r="P100" s="114">
        <f t="shared" ref="P100:P103" si="616">+IF(AND(P$16&gt;=$I100,P$16&lt;=$K100),"",0)</f>
        <v>0</v>
      </c>
      <c r="Q100" s="115">
        <f t="shared" ref="Q100:Q103" si="617">+IF(AND(Q$16&gt;=$I100,Q$16&lt;=$K100),"",0)</f>
        <v>0</v>
      </c>
      <c r="R100" s="115">
        <f t="shared" ref="R100:R103" si="618">+IF(AND(R$16&gt;=$I100,R$16&lt;=$K100),"",0)</f>
        <v>0</v>
      </c>
      <c r="S100" s="115">
        <f t="shared" ref="S100:S103" si="619">+IF(AND(S$16&gt;=$I100,S$16&lt;=$K100),"",0)</f>
        <v>0</v>
      </c>
      <c r="T100" s="115">
        <f t="shared" ref="T100:T103" si="620">+IF(AND(T$16&gt;=$I100,T$16&lt;=$K100),"",0)</f>
        <v>0</v>
      </c>
      <c r="U100" s="115">
        <f t="shared" ref="U100:U103" si="621">+IF(AND(U$16&gt;=$I100,U$16&lt;=$K100),"",0)</f>
        <v>0</v>
      </c>
      <c r="V100" s="116">
        <f t="shared" ref="V100:V103" si="622">+IF(AND(V$16&gt;=$I100,V$16&lt;=$K100),"",0)</f>
        <v>0</v>
      </c>
      <c r="W100" s="114">
        <f t="shared" ref="W100:W103" si="623">+IF(AND(W$16&gt;=$I100,W$16&lt;=$K100),"",0)</f>
        <v>0</v>
      </c>
      <c r="X100" s="117">
        <f t="shared" ref="X100:X103" si="624">+IF(AND(X$16&gt;=$I100,X$16&lt;=$K100),"",0)</f>
        <v>0</v>
      </c>
      <c r="Y100" s="117">
        <f t="shared" ref="Y100:Y103" si="625">+IF(AND(Y$16&gt;=$I100,Y$16&lt;=$K100),"",0)</f>
        <v>0</v>
      </c>
      <c r="Z100" s="117">
        <f t="shared" ref="Z100:Z103" si="626">+IF(AND(Z$16&gt;=$I100,Z$16&lt;=$K100),"",0)</f>
        <v>0</v>
      </c>
      <c r="AA100" s="117">
        <f t="shared" ref="AA100:AA103" si="627">+IF(AND(AA$16&gt;=$I100,AA$16&lt;=$K100),"",0)</f>
        <v>0</v>
      </c>
      <c r="AB100" s="117">
        <f t="shared" ref="AB100:AB103" si="628">+IF(AND(AB$16&gt;=$I100,AB$16&lt;=$K100),"",0)</f>
        <v>0</v>
      </c>
      <c r="AC100" s="118">
        <f t="shared" ref="AC100:AC103" si="629">+IF(AND(AC$16&gt;=$I100,AC$16&lt;=$K100),"",0)</f>
        <v>0</v>
      </c>
      <c r="AD100" s="114">
        <f t="shared" ref="AD100:AD103" si="630">+IF(AND(AD$16&gt;=$I100,AD$16&lt;=$K100),"",0)</f>
        <v>0</v>
      </c>
      <c r="AE100" s="117">
        <f t="shared" ref="AE100:AE103" si="631">+IF(AND(AE$16&gt;=$I100,AE$16&lt;=$K100),"",0)</f>
        <v>0</v>
      </c>
      <c r="AF100" s="117">
        <f t="shared" ref="AF100:AF103" si="632">+IF(AND(AF$16&gt;=$I100,AF$16&lt;=$K100),"",0)</f>
        <v>0</v>
      </c>
      <c r="AG100" s="117">
        <f t="shared" ref="AG100:AG103" si="633">+IF(AND(AG$16&gt;=$I100,AG$16&lt;=$K100),"",0)</f>
        <v>0</v>
      </c>
      <c r="AH100" s="117">
        <f t="shared" ref="AH100:AH103" si="634">+IF(AND(AH$16&gt;=$I100,AH$16&lt;=$K100),"",0)</f>
        <v>0</v>
      </c>
      <c r="AI100" s="117">
        <f t="shared" ref="AI100:AI103" si="635">+IF(AND(AI$16&gt;=$I100,AI$16&lt;=$K100),"",0)</f>
        <v>0</v>
      </c>
      <c r="AJ100" s="118">
        <f t="shared" ref="AJ100:AJ103" si="636">+IF(AND(AJ$16&gt;=$I100,AJ$16&lt;=$K100),"",0)</f>
        <v>0</v>
      </c>
      <c r="AK100" s="114">
        <f t="shared" ref="AK100:AK103" si="637">+IF(AND(AK$16&gt;=$I100,AK$16&lt;=$K100),"",0)</f>
        <v>0</v>
      </c>
      <c r="AL100" s="117">
        <f t="shared" ref="AL100:AL103" si="638">+IF(AND(AL$16&gt;=$I100,AL$16&lt;=$K100),"",0)</f>
        <v>0</v>
      </c>
      <c r="AM100" s="117">
        <f t="shared" ref="AM100:AM103" si="639">+IF(AND(AM$16&gt;=$I100,AM$16&lt;=$K100),"",0)</f>
        <v>0</v>
      </c>
      <c r="AN100" s="117">
        <f t="shared" ref="AN100:AN103" si="640">+IF(AND(AN$16&gt;=$I100,AN$16&lt;=$K100),"",0)</f>
        <v>0</v>
      </c>
      <c r="AO100" s="117">
        <f t="shared" ref="AO100:AO103" si="641">+IF(AND(AO$16&gt;=$I100,AO$16&lt;=$K100),"",0)</f>
        <v>0</v>
      </c>
      <c r="AP100" s="117">
        <f t="shared" ref="AP100:AP103" si="642">+IF(AND(AP$16&gt;=$I100,AP$16&lt;=$K100),"",0)</f>
        <v>0</v>
      </c>
      <c r="AQ100" s="118">
        <f t="shared" ref="AQ100:AQ103" si="643">+IF(AND(AQ$16&gt;=$I100,AQ$16&lt;=$K100),"",0)</f>
        <v>0</v>
      </c>
      <c r="AR100" s="115">
        <f t="shared" ref="AR100:AR103" si="644">+IF(AND(AR$16&gt;=$I100,AR$16&lt;=$K100),"",0)</f>
        <v>0</v>
      </c>
      <c r="AS100" s="115">
        <f t="shared" ref="AS100:AS103" si="645">+IF(AND(AS$16&gt;=$I100,AS$16&lt;=$K100),"",0)</f>
        <v>0</v>
      </c>
      <c r="AT100" s="115">
        <f t="shared" ref="AT100:AT103" si="646">+IF(AND(AT$16&gt;=$I100,AT$16&lt;=$K100),"",0)</f>
        <v>0</v>
      </c>
      <c r="AU100" s="115">
        <f t="shared" ref="AU100:AU103" si="647">+IF(AND(AU$16&gt;=$I100,AU$16&lt;=$K100),"",0)</f>
        <v>0</v>
      </c>
      <c r="AV100" s="115">
        <f t="shared" ref="AV100:AV103" si="648">+IF(AND(AV$16&gt;=$I100,AV$16&lt;=$K100),"",0)</f>
        <v>0</v>
      </c>
      <c r="AW100" s="115">
        <f t="shared" ref="AW100:AW103" si="649">+IF(AND(AW$16&gt;=$I100,AW$16&lt;=$K100),"",0)</f>
        <v>0</v>
      </c>
      <c r="AX100" s="115">
        <f t="shared" ref="AX100:AX103" si="650">+IF(AND(AX$16&gt;=$I100,AX$16&lt;=$K100),"",0)</f>
        <v>0</v>
      </c>
      <c r="AY100" s="40"/>
    </row>
    <row r="101" spans="1:51" s="26" customFormat="1" ht="27.6" customHeight="1" outlineLevel="1" x14ac:dyDescent="0.3">
      <c r="A101" s="13"/>
      <c r="B101" s="13"/>
      <c r="C101" s="13"/>
      <c r="D101" s="69">
        <f t="shared" si="230"/>
        <v>9</v>
      </c>
      <c r="E101" s="70" t="s">
        <v>83</v>
      </c>
      <c r="F101" s="49">
        <v>0</v>
      </c>
      <c r="G101" s="95" t="str">
        <f t="shared" si="190"/>
        <v>YES</v>
      </c>
      <c r="H101" s="96">
        <v>43692</v>
      </c>
      <c r="I101" s="96">
        <v>43692</v>
      </c>
      <c r="J101" s="96">
        <f t="shared" si="193"/>
        <v>43692</v>
      </c>
      <c r="K101" s="35">
        <f t="shared" si="194"/>
        <v>43692</v>
      </c>
      <c r="L101" s="103">
        <v>1</v>
      </c>
      <c r="M101" s="103">
        <v>1</v>
      </c>
      <c r="N101" s="103">
        <v>2</v>
      </c>
      <c r="O101" s="103">
        <v>2</v>
      </c>
      <c r="P101" s="114">
        <f t="shared" si="616"/>
        <v>0</v>
      </c>
      <c r="Q101" s="115">
        <f t="shared" si="617"/>
        <v>0</v>
      </c>
      <c r="R101" s="115">
        <f t="shared" si="618"/>
        <v>0</v>
      </c>
      <c r="S101" s="115">
        <f t="shared" si="619"/>
        <v>0</v>
      </c>
      <c r="T101" s="115">
        <f t="shared" si="620"/>
        <v>0</v>
      </c>
      <c r="U101" s="115">
        <f t="shared" si="621"/>
        <v>0</v>
      </c>
      <c r="V101" s="116">
        <f t="shared" si="622"/>
        <v>0</v>
      </c>
      <c r="W101" s="114">
        <f t="shared" si="623"/>
        <v>0</v>
      </c>
      <c r="X101" s="117">
        <f t="shared" si="624"/>
        <v>0</v>
      </c>
      <c r="Y101" s="117">
        <f t="shared" si="625"/>
        <v>0</v>
      </c>
      <c r="Z101" s="117">
        <f t="shared" si="626"/>
        <v>0</v>
      </c>
      <c r="AA101" s="117">
        <f t="shared" si="627"/>
        <v>0</v>
      </c>
      <c r="AB101" s="117">
        <f t="shared" si="628"/>
        <v>0</v>
      </c>
      <c r="AC101" s="118">
        <f t="shared" si="629"/>
        <v>0</v>
      </c>
      <c r="AD101" s="114" t="str">
        <f t="shared" si="630"/>
        <v/>
      </c>
      <c r="AE101" s="117">
        <f t="shared" si="631"/>
        <v>0</v>
      </c>
      <c r="AF101" s="117">
        <f t="shared" si="632"/>
        <v>0</v>
      </c>
      <c r="AG101" s="117">
        <f t="shared" si="633"/>
        <v>0</v>
      </c>
      <c r="AH101" s="117">
        <f t="shared" si="634"/>
        <v>0</v>
      </c>
      <c r="AI101" s="117">
        <f t="shared" si="635"/>
        <v>0</v>
      </c>
      <c r="AJ101" s="118">
        <f t="shared" si="636"/>
        <v>0</v>
      </c>
      <c r="AK101" s="114">
        <f t="shared" si="637"/>
        <v>0</v>
      </c>
      <c r="AL101" s="117">
        <f t="shared" si="638"/>
        <v>0</v>
      </c>
      <c r="AM101" s="117">
        <f t="shared" si="639"/>
        <v>0</v>
      </c>
      <c r="AN101" s="117">
        <f t="shared" si="640"/>
        <v>0</v>
      </c>
      <c r="AO101" s="117">
        <f t="shared" si="641"/>
        <v>0</v>
      </c>
      <c r="AP101" s="117">
        <f t="shared" si="642"/>
        <v>0</v>
      </c>
      <c r="AQ101" s="118">
        <f t="shared" si="643"/>
        <v>0</v>
      </c>
      <c r="AR101" s="115">
        <f t="shared" si="644"/>
        <v>0</v>
      </c>
      <c r="AS101" s="115">
        <f t="shared" si="645"/>
        <v>0</v>
      </c>
      <c r="AT101" s="115">
        <f t="shared" si="646"/>
        <v>0</v>
      </c>
      <c r="AU101" s="115">
        <f t="shared" si="647"/>
        <v>0</v>
      </c>
      <c r="AV101" s="115">
        <f t="shared" si="648"/>
        <v>0</v>
      </c>
      <c r="AW101" s="115">
        <f t="shared" si="649"/>
        <v>0</v>
      </c>
      <c r="AX101" s="115">
        <f t="shared" si="650"/>
        <v>0</v>
      </c>
      <c r="AY101" s="40"/>
    </row>
    <row r="102" spans="1:51" s="26" customFormat="1" ht="27.6" customHeight="1" outlineLevel="1" x14ac:dyDescent="0.3">
      <c r="A102" s="13"/>
      <c r="B102" s="13"/>
      <c r="C102" s="13"/>
      <c r="D102" s="69">
        <f t="shared" si="230"/>
        <v>10</v>
      </c>
      <c r="E102" s="70" t="s">
        <v>93</v>
      </c>
      <c r="F102" s="49">
        <v>0</v>
      </c>
      <c r="G102" s="95" t="str">
        <f t="shared" si="190"/>
        <v>YES</v>
      </c>
      <c r="H102" s="96">
        <v>43695</v>
      </c>
      <c r="I102" s="96">
        <v>43695</v>
      </c>
      <c r="J102" s="96">
        <f t="shared" si="193"/>
        <v>43695</v>
      </c>
      <c r="K102" s="35">
        <f t="shared" si="194"/>
        <v>43695</v>
      </c>
      <c r="L102" s="103">
        <v>1</v>
      </c>
      <c r="M102" s="103">
        <v>1</v>
      </c>
      <c r="N102" s="103">
        <v>2</v>
      </c>
      <c r="O102" s="103">
        <v>2</v>
      </c>
      <c r="P102" s="114">
        <f t="shared" si="616"/>
        <v>0</v>
      </c>
      <c r="Q102" s="115">
        <f t="shared" si="617"/>
        <v>0</v>
      </c>
      <c r="R102" s="115">
        <f t="shared" si="618"/>
        <v>0</v>
      </c>
      <c r="S102" s="115">
        <f t="shared" si="619"/>
        <v>0</v>
      </c>
      <c r="T102" s="115">
        <f t="shared" si="620"/>
        <v>0</v>
      </c>
      <c r="U102" s="115">
        <f t="shared" si="621"/>
        <v>0</v>
      </c>
      <c r="V102" s="116">
        <f t="shared" si="622"/>
        <v>0</v>
      </c>
      <c r="W102" s="114">
        <f t="shared" si="623"/>
        <v>0</v>
      </c>
      <c r="X102" s="117">
        <f t="shared" si="624"/>
        <v>0</v>
      </c>
      <c r="Y102" s="117">
        <f t="shared" si="625"/>
        <v>0</v>
      </c>
      <c r="Z102" s="117">
        <f t="shared" si="626"/>
        <v>0</v>
      </c>
      <c r="AA102" s="117">
        <f t="shared" si="627"/>
        <v>0</v>
      </c>
      <c r="AB102" s="117">
        <f t="shared" si="628"/>
        <v>0</v>
      </c>
      <c r="AC102" s="118">
        <f t="shared" si="629"/>
        <v>0</v>
      </c>
      <c r="AD102" s="114">
        <f t="shared" si="630"/>
        <v>0</v>
      </c>
      <c r="AE102" s="117">
        <f t="shared" si="631"/>
        <v>0</v>
      </c>
      <c r="AF102" s="117">
        <f t="shared" si="632"/>
        <v>0</v>
      </c>
      <c r="AG102" s="117" t="str">
        <f t="shared" si="633"/>
        <v/>
      </c>
      <c r="AH102" s="117">
        <f t="shared" si="634"/>
        <v>0</v>
      </c>
      <c r="AI102" s="117">
        <f t="shared" si="635"/>
        <v>0</v>
      </c>
      <c r="AJ102" s="118">
        <f t="shared" si="636"/>
        <v>0</v>
      </c>
      <c r="AK102" s="114">
        <f t="shared" si="637"/>
        <v>0</v>
      </c>
      <c r="AL102" s="117">
        <f t="shared" si="638"/>
        <v>0</v>
      </c>
      <c r="AM102" s="117">
        <f t="shared" si="639"/>
        <v>0</v>
      </c>
      <c r="AN102" s="117">
        <f t="shared" si="640"/>
        <v>0</v>
      </c>
      <c r="AO102" s="117">
        <f t="shared" si="641"/>
        <v>0</v>
      </c>
      <c r="AP102" s="117">
        <f t="shared" si="642"/>
        <v>0</v>
      </c>
      <c r="AQ102" s="118">
        <f t="shared" si="643"/>
        <v>0</v>
      </c>
      <c r="AR102" s="115">
        <f t="shared" si="644"/>
        <v>0</v>
      </c>
      <c r="AS102" s="115">
        <f t="shared" si="645"/>
        <v>0</v>
      </c>
      <c r="AT102" s="115">
        <f t="shared" si="646"/>
        <v>0</v>
      </c>
      <c r="AU102" s="115">
        <f t="shared" si="647"/>
        <v>0</v>
      </c>
      <c r="AV102" s="115">
        <f t="shared" si="648"/>
        <v>0</v>
      </c>
      <c r="AW102" s="115">
        <f t="shared" si="649"/>
        <v>0</v>
      </c>
      <c r="AX102" s="115">
        <f t="shared" si="650"/>
        <v>0</v>
      </c>
      <c r="AY102" s="40"/>
    </row>
    <row r="103" spans="1:51" s="26" customFormat="1" ht="27.6" customHeight="1" outlineLevel="1" x14ac:dyDescent="0.3">
      <c r="A103" s="13"/>
      <c r="B103" s="13"/>
      <c r="C103" s="13"/>
      <c r="D103" s="69">
        <f t="shared" si="230"/>
        <v>11</v>
      </c>
      <c r="E103" s="70" t="s">
        <v>84</v>
      </c>
      <c r="F103" s="49">
        <v>0</v>
      </c>
      <c r="G103" s="95" t="str">
        <f t="shared" si="190"/>
        <v>YES</v>
      </c>
      <c r="H103" s="96">
        <v>43609</v>
      </c>
      <c r="I103" s="96">
        <v>43609</v>
      </c>
      <c r="J103" s="96">
        <f t="shared" si="193"/>
        <v>43609</v>
      </c>
      <c r="K103" s="35">
        <f t="shared" si="194"/>
        <v>43609</v>
      </c>
      <c r="L103" s="103">
        <v>1</v>
      </c>
      <c r="M103" s="103">
        <v>1</v>
      </c>
      <c r="N103" s="103">
        <v>2</v>
      </c>
      <c r="O103" s="103">
        <v>2</v>
      </c>
      <c r="P103" s="114">
        <f t="shared" si="616"/>
        <v>0</v>
      </c>
      <c r="Q103" s="115">
        <f t="shared" si="617"/>
        <v>0</v>
      </c>
      <c r="R103" s="115">
        <f t="shared" si="618"/>
        <v>0</v>
      </c>
      <c r="S103" s="115">
        <f t="shared" si="619"/>
        <v>0</v>
      </c>
      <c r="T103" s="115">
        <f t="shared" si="620"/>
        <v>0</v>
      </c>
      <c r="U103" s="115">
        <f t="shared" si="621"/>
        <v>0</v>
      </c>
      <c r="V103" s="116">
        <f t="shared" si="622"/>
        <v>0</v>
      </c>
      <c r="W103" s="114">
        <f t="shared" si="623"/>
        <v>0</v>
      </c>
      <c r="X103" s="117">
        <f t="shared" si="624"/>
        <v>0</v>
      </c>
      <c r="Y103" s="117">
        <f t="shared" si="625"/>
        <v>0</v>
      </c>
      <c r="Z103" s="117">
        <f t="shared" si="626"/>
        <v>0</v>
      </c>
      <c r="AA103" s="117">
        <f t="shared" si="627"/>
        <v>0</v>
      </c>
      <c r="AB103" s="117">
        <f t="shared" si="628"/>
        <v>0</v>
      </c>
      <c r="AC103" s="118">
        <f t="shared" si="629"/>
        <v>0</v>
      </c>
      <c r="AD103" s="114">
        <f t="shared" si="630"/>
        <v>0</v>
      </c>
      <c r="AE103" s="117">
        <f t="shared" si="631"/>
        <v>0</v>
      </c>
      <c r="AF103" s="117">
        <f t="shared" si="632"/>
        <v>0</v>
      </c>
      <c r="AG103" s="117">
        <f t="shared" si="633"/>
        <v>0</v>
      </c>
      <c r="AH103" s="117">
        <f t="shared" si="634"/>
        <v>0</v>
      </c>
      <c r="AI103" s="117">
        <f t="shared" si="635"/>
        <v>0</v>
      </c>
      <c r="AJ103" s="118">
        <f t="shared" si="636"/>
        <v>0</v>
      </c>
      <c r="AK103" s="114">
        <f t="shared" si="637"/>
        <v>0</v>
      </c>
      <c r="AL103" s="117">
        <f t="shared" si="638"/>
        <v>0</v>
      </c>
      <c r="AM103" s="117">
        <f t="shared" si="639"/>
        <v>0</v>
      </c>
      <c r="AN103" s="117">
        <f t="shared" si="640"/>
        <v>0</v>
      </c>
      <c r="AO103" s="117">
        <f t="shared" si="641"/>
        <v>0</v>
      </c>
      <c r="AP103" s="117">
        <f t="shared" si="642"/>
        <v>0</v>
      </c>
      <c r="AQ103" s="118">
        <f t="shared" si="643"/>
        <v>0</v>
      </c>
      <c r="AR103" s="115">
        <f t="shared" si="644"/>
        <v>0</v>
      </c>
      <c r="AS103" s="115">
        <f t="shared" si="645"/>
        <v>0</v>
      </c>
      <c r="AT103" s="115">
        <f t="shared" si="646"/>
        <v>0</v>
      </c>
      <c r="AU103" s="115">
        <f t="shared" si="647"/>
        <v>0</v>
      </c>
      <c r="AV103" s="115">
        <f t="shared" si="648"/>
        <v>0</v>
      </c>
      <c r="AW103" s="115">
        <f t="shared" si="649"/>
        <v>0</v>
      </c>
      <c r="AX103" s="115">
        <f t="shared" si="650"/>
        <v>0</v>
      </c>
      <c r="AY103" s="40"/>
    </row>
    <row r="104" spans="1:51" s="26" customFormat="1" ht="27.6" customHeight="1" outlineLevel="1" x14ac:dyDescent="0.3">
      <c r="A104" s="13"/>
      <c r="B104" s="13"/>
      <c r="C104" s="13"/>
      <c r="D104" s="69">
        <f t="shared" si="230"/>
        <v>12</v>
      </c>
      <c r="E104" s="70" t="s">
        <v>94</v>
      </c>
      <c r="F104" s="49">
        <v>0</v>
      </c>
      <c r="G104" s="95" t="str">
        <f t="shared" si="190"/>
        <v>YES</v>
      </c>
      <c r="H104" s="96">
        <v>43612</v>
      </c>
      <c r="I104" s="96">
        <v>43612</v>
      </c>
      <c r="J104" s="96">
        <f t="shared" si="193"/>
        <v>43612</v>
      </c>
      <c r="K104" s="35">
        <f t="shared" si="194"/>
        <v>43612</v>
      </c>
      <c r="L104" s="103">
        <v>1</v>
      </c>
      <c r="M104" s="103">
        <v>1</v>
      </c>
      <c r="N104" s="103">
        <v>2</v>
      </c>
      <c r="O104" s="103">
        <v>2</v>
      </c>
      <c r="P104" s="114">
        <f t="shared" ref="P104:P107" si="651">+IF(AND(P$16&gt;=$I104,P$16&lt;=$K104),"",0)</f>
        <v>0</v>
      </c>
      <c r="Q104" s="115">
        <f t="shared" ref="Q104:Q107" si="652">+IF(AND(Q$16&gt;=$I104,Q$16&lt;=$K104),"",0)</f>
        <v>0</v>
      </c>
      <c r="R104" s="115">
        <f t="shared" ref="R104:R107" si="653">+IF(AND(R$16&gt;=$I104,R$16&lt;=$K104),"",0)</f>
        <v>0</v>
      </c>
      <c r="S104" s="115">
        <f t="shared" ref="S104:S107" si="654">+IF(AND(S$16&gt;=$I104,S$16&lt;=$K104),"",0)</f>
        <v>0</v>
      </c>
      <c r="T104" s="115">
        <f t="shared" ref="T104:T107" si="655">+IF(AND(T$16&gt;=$I104,T$16&lt;=$K104),"",0)</f>
        <v>0</v>
      </c>
      <c r="U104" s="115">
        <f t="shared" ref="U104:U107" si="656">+IF(AND(U$16&gt;=$I104,U$16&lt;=$K104),"",0)</f>
        <v>0</v>
      </c>
      <c r="V104" s="116">
        <f t="shared" ref="V104:V107" si="657">+IF(AND(V$16&gt;=$I104,V$16&lt;=$K104),"",0)</f>
        <v>0</v>
      </c>
      <c r="W104" s="114">
        <f t="shared" ref="W104:W107" si="658">+IF(AND(W$16&gt;=$I104,W$16&lt;=$K104),"",0)</f>
        <v>0</v>
      </c>
      <c r="X104" s="117">
        <f t="shared" ref="X104:X107" si="659">+IF(AND(X$16&gt;=$I104,X$16&lt;=$K104),"",0)</f>
        <v>0</v>
      </c>
      <c r="Y104" s="117">
        <f t="shared" ref="Y104:Y107" si="660">+IF(AND(Y$16&gt;=$I104,Y$16&lt;=$K104),"",0)</f>
        <v>0</v>
      </c>
      <c r="Z104" s="117">
        <f t="shared" ref="Z104:Z107" si="661">+IF(AND(Z$16&gt;=$I104,Z$16&lt;=$K104),"",0)</f>
        <v>0</v>
      </c>
      <c r="AA104" s="117">
        <f t="shared" ref="AA104:AA107" si="662">+IF(AND(AA$16&gt;=$I104,AA$16&lt;=$K104),"",0)</f>
        <v>0</v>
      </c>
      <c r="AB104" s="117">
        <f t="shared" ref="AB104:AB107" si="663">+IF(AND(AB$16&gt;=$I104,AB$16&lt;=$K104),"",0)</f>
        <v>0</v>
      </c>
      <c r="AC104" s="118">
        <f t="shared" ref="AC104:AC107" si="664">+IF(AND(AC$16&gt;=$I104,AC$16&lt;=$K104),"",0)</f>
        <v>0</v>
      </c>
      <c r="AD104" s="114">
        <f t="shared" ref="AD104:AD107" si="665">+IF(AND(AD$16&gt;=$I104,AD$16&lt;=$K104),"",0)</f>
        <v>0</v>
      </c>
      <c r="AE104" s="117">
        <f t="shared" ref="AE104:AE107" si="666">+IF(AND(AE$16&gt;=$I104,AE$16&lt;=$K104),"",0)</f>
        <v>0</v>
      </c>
      <c r="AF104" s="117">
        <f t="shared" ref="AF104:AF107" si="667">+IF(AND(AF$16&gt;=$I104,AF$16&lt;=$K104),"",0)</f>
        <v>0</v>
      </c>
      <c r="AG104" s="117">
        <f t="shared" ref="AG104:AG107" si="668">+IF(AND(AG$16&gt;=$I104,AG$16&lt;=$K104),"",0)</f>
        <v>0</v>
      </c>
      <c r="AH104" s="117">
        <f t="shared" ref="AH104:AH107" si="669">+IF(AND(AH$16&gt;=$I104,AH$16&lt;=$K104),"",0)</f>
        <v>0</v>
      </c>
      <c r="AI104" s="117">
        <f t="shared" ref="AI104:AI107" si="670">+IF(AND(AI$16&gt;=$I104,AI$16&lt;=$K104),"",0)</f>
        <v>0</v>
      </c>
      <c r="AJ104" s="118">
        <f t="shared" ref="AJ104:AJ107" si="671">+IF(AND(AJ$16&gt;=$I104,AJ$16&lt;=$K104),"",0)</f>
        <v>0</v>
      </c>
      <c r="AK104" s="114">
        <f t="shared" ref="AK104:AK107" si="672">+IF(AND(AK$16&gt;=$I104,AK$16&lt;=$K104),"",0)</f>
        <v>0</v>
      </c>
      <c r="AL104" s="117">
        <f t="shared" ref="AL104:AL107" si="673">+IF(AND(AL$16&gt;=$I104,AL$16&lt;=$K104),"",0)</f>
        <v>0</v>
      </c>
      <c r="AM104" s="117">
        <f t="shared" ref="AM104:AM107" si="674">+IF(AND(AM$16&gt;=$I104,AM$16&lt;=$K104),"",0)</f>
        <v>0</v>
      </c>
      <c r="AN104" s="117">
        <f t="shared" ref="AN104:AN107" si="675">+IF(AND(AN$16&gt;=$I104,AN$16&lt;=$K104),"",0)</f>
        <v>0</v>
      </c>
      <c r="AO104" s="117">
        <f t="shared" ref="AO104:AO107" si="676">+IF(AND(AO$16&gt;=$I104,AO$16&lt;=$K104),"",0)</f>
        <v>0</v>
      </c>
      <c r="AP104" s="117">
        <f t="shared" ref="AP104:AP107" si="677">+IF(AND(AP$16&gt;=$I104,AP$16&lt;=$K104),"",0)</f>
        <v>0</v>
      </c>
      <c r="AQ104" s="118">
        <f t="shared" ref="AQ104:AQ107" si="678">+IF(AND(AQ$16&gt;=$I104,AQ$16&lt;=$K104),"",0)</f>
        <v>0</v>
      </c>
      <c r="AR104" s="115">
        <f t="shared" ref="AR104:AR107" si="679">+IF(AND(AR$16&gt;=$I104,AR$16&lt;=$K104),"",0)</f>
        <v>0</v>
      </c>
      <c r="AS104" s="115">
        <f t="shared" ref="AS104:AS107" si="680">+IF(AND(AS$16&gt;=$I104,AS$16&lt;=$K104),"",0)</f>
        <v>0</v>
      </c>
      <c r="AT104" s="115">
        <f t="shared" ref="AT104:AT107" si="681">+IF(AND(AT$16&gt;=$I104,AT$16&lt;=$K104),"",0)</f>
        <v>0</v>
      </c>
      <c r="AU104" s="115">
        <f t="shared" ref="AU104:AU107" si="682">+IF(AND(AU$16&gt;=$I104,AU$16&lt;=$K104),"",0)</f>
        <v>0</v>
      </c>
      <c r="AV104" s="115">
        <f t="shared" ref="AV104:AV107" si="683">+IF(AND(AV$16&gt;=$I104,AV$16&lt;=$K104),"",0)</f>
        <v>0</v>
      </c>
      <c r="AW104" s="115">
        <f t="shared" ref="AW104:AW107" si="684">+IF(AND(AW$16&gt;=$I104,AW$16&lt;=$K104),"",0)</f>
        <v>0</v>
      </c>
      <c r="AX104" s="115">
        <f t="shared" ref="AX104:AX107" si="685">+IF(AND(AX$16&gt;=$I104,AX$16&lt;=$K104),"",0)</f>
        <v>0</v>
      </c>
      <c r="AY104" s="40"/>
    </row>
    <row r="105" spans="1:51" s="26" customFormat="1" ht="27.6" customHeight="1" outlineLevel="1" x14ac:dyDescent="0.3">
      <c r="A105" s="13"/>
      <c r="B105" s="13"/>
      <c r="C105" s="13"/>
      <c r="D105" s="69">
        <f t="shared" si="230"/>
        <v>13</v>
      </c>
      <c r="E105" s="70" t="s">
        <v>85</v>
      </c>
      <c r="F105" s="49">
        <v>0</v>
      </c>
      <c r="G105" s="95" t="str">
        <f t="shared" si="190"/>
        <v>YES</v>
      </c>
      <c r="H105" s="96">
        <v>43609</v>
      </c>
      <c r="I105" s="96">
        <v>43609</v>
      </c>
      <c r="J105" s="96">
        <f t="shared" si="193"/>
        <v>43609</v>
      </c>
      <c r="K105" s="35">
        <f t="shared" si="194"/>
        <v>43609</v>
      </c>
      <c r="L105" s="103">
        <v>1</v>
      </c>
      <c r="M105" s="103">
        <v>1</v>
      </c>
      <c r="N105" s="103">
        <v>2</v>
      </c>
      <c r="O105" s="103">
        <v>2</v>
      </c>
      <c r="P105" s="114">
        <f t="shared" si="651"/>
        <v>0</v>
      </c>
      <c r="Q105" s="115">
        <f t="shared" si="652"/>
        <v>0</v>
      </c>
      <c r="R105" s="115">
        <f t="shared" si="653"/>
        <v>0</v>
      </c>
      <c r="S105" s="115">
        <f t="shared" si="654"/>
        <v>0</v>
      </c>
      <c r="T105" s="115">
        <f t="shared" si="655"/>
        <v>0</v>
      </c>
      <c r="U105" s="115">
        <f t="shared" si="656"/>
        <v>0</v>
      </c>
      <c r="V105" s="116">
        <f t="shared" si="657"/>
        <v>0</v>
      </c>
      <c r="W105" s="114">
        <f t="shared" si="658"/>
        <v>0</v>
      </c>
      <c r="X105" s="117">
        <f t="shared" si="659"/>
        <v>0</v>
      </c>
      <c r="Y105" s="117">
        <f t="shared" si="660"/>
        <v>0</v>
      </c>
      <c r="Z105" s="117">
        <f t="shared" si="661"/>
        <v>0</v>
      </c>
      <c r="AA105" s="117">
        <f t="shared" si="662"/>
        <v>0</v>
      </c>
      <c r="AB105" s="117">
        <f t="shared" si="663"/>
        <v>0</v>
      </c>
      <c r="AC105" s="118">
        <f t="shared" si="664"/>
        <v>0</v>
      </c>
      <c r="AD105" s="114">
        <f t="shared" si="665"/>
        <v>0</v>
      </c>
      <c r="AE105" s="117">
        <f t="shared" si="666"/>
        <v>0</v>
      </c>
      <c r="AF105" s="117">
        <f t="shared" si="667"/>
        <v>0</v>
      </c>
      <c r="AG105" s="117">
        <f t="shared" si="668"/>
        <v>0</v>
      </c>
      <c r="AH105" s="117">
        <f t="shared" si="669"/>
        <v>0</v>
      </c>
      <c r="AI105" s="117">
        <f t="shared" si="670"/>
        <v>0</v>
      </c>
      <c r="AJ105" s="118">
        <f t="shared" si="671"/>
        <v>0</v>
      </c>
      <c r="AK105" s="114">
        <f t="shared" si="672"/>
        <v>0</v>
      </c>
      <c r="AL105" s="117">
        <f t="shared" si="673"/>
        <v>0</v>
      </c>
      <c r="AM105" s="117">
        <f t="shared" si="674"/>
        <v>0</v>
      </c>
      <c r="AN105" s="117">
        <f t="shared" si="675"/>
        <v>0</v>
      </c>
      <c r="AO105" s="117">
        <f t="shared" si="676"/>
        <v>0</v>
      </c>
      <c r="AP105" s="117">
        <f t="shared" si="677"/>
        <v>0</v>
      </c>
      <c r="AQ105" s="118">
        <f t="shared" si="678"/>
        <v>0</v>
      </c>
      <c r="AR105" s="115">
        <f t="shared" si="679"/>
        <v>0</v>
      </c>
      <c r="AS105" s="115">
        <f t="shared" si="680"/>
        <v>0</v>
      </c>
      <c r="AT105" s="115">
        <f t="shared" si="681"/>
        <v>0</v>
      </c>
      <c r="AU105" s="115">
        <f t="shared" si="682"/>
        <v>0</v>
      </c>
      <c r="AV105" s="115">
        <f t="shared" si="683"/>
        <v>0</v>
      </c>
      <c r="AW105" s="115">
        <f t="shared" si="684"/>
        <v>0</v>
      </c>
      <c r="AX105" s="115">
        <f t="shared" si="685"/>
        <v>0</v>
      </c>
      <c r="AY105" s="40"/>
    </row>
    <row r="106" spans="1:51" s="26" customFormat="1" ht="27.6" customHeight="1" outlineLevel="1" x14ac:dyDescent="0.3">
      <c r="A106" s="13"/>
      <c r="B106" s="13"/>
      <c r="C106" s="13"/>
      <c r="D106" s="69">
        <f t="shared" si="230"/>
        <v>14</v>
      </c>
      <c r="E106" s="70" t="s">
        <v>95</v>
      </c>
      <c r="F106" s="49">
        <v>0</v>
      </c>
      <c r="G106" s="95" t="str">
        <f t="shared" si="190"/>
        <v>YES</v>
      </c>
      <c r="H106" s="96">
        <v>43630</v>
      </c>
      <c r="I106" s="96">
        <v>43630</v>
      </c>
      <c r="J106" s="96">
        <f t="shared" si="193"/>
        <v>43631</v>
      </c>
      <c r="K106" s="35">
        <f t="shared" si="194"/>
        <v>43631</v>
      </c>
      <c r="L106" s="103">
        <v>2</v>
      </c>
      <c r="M106" s="103">
        <v>2</v>
      </c>
      <c r="N106" s="103">
        <v>4</v>
      </c>
      <c r="O106" s="103">
        <v>4</v>
      </c>
      <c r="P106" s="114">
        <f t="shared" si="651"/>
        <v>0</v>
      </c>
      <c r="Q106" s="115">
        <f t="shared" si="652"/>
        <v>0</v>
      </c>
      <c r="R106" s="115">
        <f t="shared" si="653"/>
        <v>0</v>
      </c>
      <c r="S106" s="115">
        <f t="shared" si="654"/>
        <v>0</v>
      </c>
      <c r="T106" s="115">
        <f t="shared" si="655"/>
        <v>0</v>
      </c>
      <c r="U106" s="115">
        <f t="shared" si="656"/>
        <v>0</v>
      </c>
      <c r="V106" s="116">
        <f t="shared" si="657"/>
        <v>0</v>
      </c>
      <c r="W106" s="114">
        <f t="shared" si="658"/>
        <v>0</v>
      </c>
      <c r="X106" s="117">
        <f t="shared" si="659"/>
        <v>0</v>
      </c>
      <c r="Y106" s="117">
        <f t="shared" si="660"/>
        <v>0</v>
      </c>
      <c r="Z106" s="117">
        <f t="shared" si="661"/>
        <v>0</v>
      </c>
      <c r="AA106" s="117">
        <f t="shared" si="662"/>
        <v>0</v>
      </c>
      <c r="AB106" s="117">
        <f t="shared" si="663"/>
        <v>0</v>
      </c>
      <c r="AC106" s="118">
        <f t="shared" si="664"/>
        <v>0</v>
      </c>
      <c r="AD106" s="114">
        <f t="shared" si="665"/>
        <v>0</v>
      </c>
      <c r="AE106" s="117">
        <f t="shared" si="666"/>
        <v>0</v>
      </c>
      <c r="AF106" s="117">
        <f t="shared" si="667"/>
        <v>0</v>
      </c>
      <c r="AG106" s="117">
        <f t="shared" si="668"/>
        <v>0</v>
      </c>
      <c r="AH106" s="117">
        <f t="shared" si="669"/>
        <v>0</v>
      </c>
      <c r="AI106" s="117">
        <f t="shared" si="670"/>
        <v>0</v>
      </c>
      <c r="AJ106" s="118">
        <f t="shared" si="671"/>
        <v>0</v>
      </c>
      <c r="AK106" s="114">
        <f t="shared" si="672"/>
        <v>0</v>
      </c>
      <c r="AL106" s="117">
        <f t="shared" si="673"/>
        <v>0</v>
      </c>
      <c r="AM106" s="117">
        <f t="shared" si="674"/>
        <v>0</v>
      </c>
      <c r="AN106" s="117">
        <f t="shared" si="675"/>
        <v>0</v>
      </c>
      <c r="AO106" s="117">
        <f t="shared" si="676"/>
        <v>0</v>
      </c>
      <c r="AP106" s="117">
        <f t="shared" si="677"/>
        <v>0</v>
      </c>
      <c r="AQ106" s="118">
        <f t="shared" si="678"/>
        <v>0</v>
      </c>
      <c r="AR106" s="115">
        <f t="shared" si="679"/>
        <v>0</v>
      </c>
      <c r="AS106" s="115">
        <f t="shared" si="680"/>
        <v>0</v>
      </c>
      <c r="AT106" s="115">
        <f t="shared" si="681"/>
        <v>0</v>
      </c>
      <c r="AU106" s="115">
        <f t="shared" si="682"/>
        <v>0</v>
      </c>
      <c r="AV106" s="115">
        <f t="shared" si="683"/>
        <v>0</v>
      </c>
      <c r="AW106" s="115">
        <f t="shared" si="684"/>
        <v>0</v>
      </c>
      <c r="AX106" s="115">
        <f t="shared" si="685"/>
        <v>0</v>
      </c>
      <c r="AY106" s="40"/>
    </row>
    <row r="107" spans="1:51" s="26" customFormat="1" ht="27.6" customHeight="1" outlineLevel="1" x14ac:dyDescent="0.3">
      <c r="A107" s="13"/>
      <c r="B107" s="13"/>
      <c r="C107" s="13"/>
      <c r="D107" s="69">
        <f t="shared" si="230"/>
        <v>15</v>
      </c>
      <c r="E107" s="70" t="s">
        <v>86</v>
      </c>
      <c r="F107" s="49">
        <v>0</v>
      </c>
      <c r="G107" s="95" t="str">
        <f t="shared" si="190"/>
        <v>YES</v>
      </c>
      <c r="H107" s="96">
        <v>43694</v>
      </c>
      <c r="I107" s="96">
        <v>43694</v>
      </c>
      <c r="J107" s="96">
        <f t="shared" si="193"/>
        <v>43694</v>
      </c>
      <c r="K107" s="35">
        <f t="shared" si="194"/>
        <v>43694</v>
      </c>
      <c r="L107" s="103">
        <v>1</v>
      </c>
      <c r="M107" s="103">
        <v>1</v>
      </c>
      <c r="N107" s="103">
        <v>4</v>
      </c>
      <c r="O107" s="103">
        <v>4</v>
      </c>
      <c r="P107" s="114">
        <f t="shared" si="651"/>
        <v>0</v>
      </c>
      <c r="Q107" s="115">
        <f t="shared" si="652"/>
        <v>0</v>
      </c>
      <c r="R107" s="115">
        <f t="shared" si="653"/>
        <v>0</v>
      </c>
      <c r="S107" s="115">
        <f t="shared" si="654"/>
        <v>0</v>
      </c>
      <c r="T107" s="115">
        <f t="shared" si="655"/>
        <v>0</v>
      </c>
      <c r="U107" s="115">
        <f t="shared" si="656"/>
        <v>0</v>
      </c>
      <c r="V107" s="116">
        <f t="shared" si="657"/>
        <v>0</v>
      </c>
      <c r="W107" s="114">
        <f t="shared" si="658"/>
        <v>0</v>
      </c>
      <c r="X107" s="117">
        <f t="shared" si="659"/>
        <v>0</v>
      </c>
      <c r="Y107" s="117">
        <f t="shared" si="660"/>
        <v>0</v>
      </c>
      <c r="Z107" s="117">
        <f t="shared" si="661"/>
        <v>0</v>
      </c>
      <c r="AA107" s="117">
        <f t="shared" si="662"/>
        <v>0</v>
      </c>
      <c r="AB107" s="117">
        <f t="shared" si="663"/>
        <v>0</v>
      </c>
      <c r="AC107" s="118">
        <f t="shared" si="664"/>
        <v>0</v>
      </c>
      <c r="AD107" s="114">
        <f t="shared" si="665"/>
        <v>0</v>
      </c>
      <c r="AE107" s="117">
        <f t="shared" si="666"/>
        <v>0</v>
      </c>
      <c r="AF107" s="117" t="str">
        <f t="shared" si="667"/>
        <v/>
      </c>
      <c r="AG107" s="117">
        <f t="shared" si="668"/>
        <v>0</v>
      </c>
      <c r="AH107" s="117">
        <f t="shared" si="669"/>
        <v>0</v>
      </c>
      <c r="AI107" s="117">
        <f t="shared" si="670"/>
        <v>0</v>
      </c>
      <c r="AJ107" s="118">
        <f t="shared" si="671"/>
        <v>0</v>
      </c>
      <c r="AK107" s="114">
        <f t="shared" si="672"/>
        <v>0</v>
      </c>
      <c r="AL107" s="117">
        <f t="shared" si="673"/>
        <v>0</v>
      </c>
      <c r="AM107" s="117">
        <f t="shared" si="674"/>
        <v>0</v>
      </c>
      <c r="AN107" s="117">
        <f t="shared" si="675"/>
        <v>0</v>
      </c>
      <c r="AO107" s="117">
        <f t="shared" si="676"/>
        <v>0</v>
      </c>
      <c r="AP107" s="117">
        <f t="shared" si="677"/>
        <v>0</v>
      </c>
      <c r="AQ107" s="118">
        <f t="shared" si="678"/>
        <v>0</v>
      </c>
      <c r="AR107" s="115">
        <f t="shared" si="679"/>
        <v>0</v>
      </c>
      <c r="AS107" s="115">
        <f t="shared" si="680"/>
        <v>0</v>
      </c>
      <c r="AT107" s="115">
        <f t="shared" si="681"/>
        <v>0</v>
      </c>
      <c r="AU107" s="115">
        <f t="shared" si="682"/>
        <v>0</v>
      </c>
      <c r="AV107" s="115">
        <f t="shared" si="683"/>
        <v>0</v>
      </c>
      <c r="AW107" s="115">
        <f t="shared" si="684"/>
        <v>0</v>
      </c>
      <c r="AX107" s="115">
        <f t="shared" si="685"/>
        <v>0</v>
      </c>
      <c r="AY107" s="40"/>
    </row>
    <row r="108" spans="1:51" s="26" customFormat="1" ht="27.6" customHeight="1" outlineLevel="1" x14ac:dyDescent="0.3">
      <c r="A108" s="13"/>
      <c r="B108" s="13"/>
      <c r="C108" s="13"/>
      <c r="D108" s="69">
        <f t="shared" si="230"/>
        <v>16</v>
      </c>
      <c r="E108" s="70" t="s">
        <v>96</v>
      </c>
      <c r="F108" s="49">
        <v>0</v>
      </c>
      <c r="G108" s="95" t="str">
        <f t="shared" si="190"/>
        <v>YES</v>
      </c>
      <c r="H108" s="96">
        <v>43697</v>
      </c>
      <c r="I108" s="96">
        <v>43697</v>
      </c>
      <c r="J108" s="96">
        <f t="shared" si="193"/>
        <v>43698</v>
      </c>
      <c r="K108" s="35">
        <f t="shared" si="194"/>
        <v>43698</v>
      </c>
      <c r="L108" s="103">
        <v>2</v>
      </c>
      <c r="M108" s="103">
        <v>2</v>
      </c>
      <c r="N108" s="103">
        <v>6</v>
      </c>
      <c r="O108" s="103">
        <v>6</v>
      </c>
      <c r="P108" s="114">
        <f t="shared" ref="P108:P111" si="686">+IF(AND(P$16&gt;=$I108,P$16&lt;=$K108),"",0)</f>
        <v>0</v>
      </c>
      <c r="Q108" s="115">
        <f t="shared" ref="Q108:Q111" si="687">+IF(AND(Q$16&gt;=$I108,Q$16&lt;=$K108),"",0)</f>
        <v>0</v>
      </c>
      <c r="R108" s="115">
        <f t="shared" ref="R108:R111" si="688">+IF(AND(R$16&gt;=$I108,R$16&lt;=$K108),"",0)</f>
        <v>0</v>
      </c>
      <c r="S108" s="115">
        <f t="shared" ref="S108:S111" si="689">+IF(AND(S$16&gt;=$I108,S$16&lt;=$K108),"",0)</f>
        <v>0</v>
      </c>
      <c r="T108" s="115">
        <f t="shared" ref="T108:T111" si="690">+IF(AND(T$16&gt;=$I108,T$16&lt;=$K108),"",0)</f>
        <v>0</v>
      </c>
      <c r="U108" s="115">
        <f t="shared" ref="U108:U111" si="691">+IF(AND(U$16&gt;=$I108,U$16&lt;=$K108),"",0)</f>
        <v>0</v>
      </c>
      <c r="V108" s="116">
        <f t="shared" ref="V108:V111" si="692">+IF(AND(V$16&gt;=$I108,V$16&lt;=$K108),"",0)</f>
        <v>0</v>
      </c>
      <c r="W108" s="114">
        <f t="shared" ref="W108:W111" si="693">+IF(AND(W$16&gt;=$I108,W$16&lt;=$K108),"",0)</f>
        <v>0</v>
      </c>
      <c r="X108" s="117">
        <f t="shared" ref="X108:X111" si="694">+IF(AND(X$16&gt;=$I108,X$16&lt;=$K108),"",0)</f>
        <v>0</v>
      </c>
      <c r="Y108" s="117">
        <f t="shared" ref="Y108:Y111" si="695">+IF(AND(Y$16&gt;=$I108,Y$16&lt;=$K108),"",0)</f>
        <v>0</v>
      </c>
      <c r="Z108" s="117">
        <f t="shared" ref="Z108:Z111" si="696">+IF(AND(Z$16&gt;=$I108,Z$16&lt;=$K108),"",0)</f>
        <v>0</v>
      </c>
      <c r="AA108" s="117">
        <f t="shared" ref="AA108:AA111" si="697">+IF(AND(AA$16&gt;=$I108,AA$16&lt;=$K108),"",0)</f>
        <v>0</v>
      </c>
      <c r="AB108" s="117">
        <f t="shared" ref="AB108:AB111" si="698">+IF(AND(AB$16&gt;=$I108,AB$16&lt;=$K108),"",0)</f>
        <v>0</v>
      </c>
      <c r="AC108" s="118">
        <f t="shared" ref="AC108:AC111" si="699">+IF(AND(AC$16&gt;=$I108,AC$16&lt;=$K108),"",0)</f>
        <v>0</v>
      </c>
      <c r="AD108" s="114">
        <f t="shared" ref="AD108:AD111" si="700">+IF(AND(AD$16&gt;=$I108,AD$16&lt;=$K108),"",0)</f>
        <v>0</v>
      </c>
      <c r="AE108" s="117">
        <f t="shared" ref="AE108:AE111" si="701">+IF(AND(AE$16&gt;=$I108,AE$16&lt;=$K108),"",0)</f>
        <v>0</v>
      </c>
      <c r="AF108" s="117">
        <f t="shared" ref="AF108:AF111" si="702">+IF(AND(AF$16&gt;=$I108,AF$16&lt;=$K108),"",0)</f>
        <v>0</v>
      </c>
      <c r="AG108" s="117">
        <f t="shared" ref="AG108:AG111" si="703">+IF(AND(AG$16&gt;=$I108,AG$16&lt;=$K108),"",0)</f>
        <v>0</v>
      </c>
      <c r="AH108" s="117">
        <f t="shared" ref="AH108:AH111" si="704">+IF(AND(AH$16&gt;=$I108,AH$16&lt;=$K108),"",0)</f>
        <v>0</v>
      </c>
      <c r="AI108" s="117" t="str">
        <f t="shared" ref="AI108:AI111" si="705">+IF(AND(AI$16&gt;=$I108,AI$16&lt;=$K108),"",0)</f>
        <v/>
      </c>
      <c r="AJ108" s="118" t="str">
        <f t="shared" ref="AJ108:AJ111" si="706">+IF(AND(AJ$16&gt;=$I108,AJ$16&lt;=$K108),"",0)</f>
        <v/>
      </c>
      <c r="AK108" s="114">
        <f t="shared" ref="AK108:AK111" si="707">+IF(AND(AK$16&gt;=$I108,AK$16&lt;=$K108),"",0)</f>
        <v>0</v>
      </c>
      <c r="AL108" s="117">
        <f t="shared" ref="AL108:AL111" si="708">+IF(AND(AL$16&gt;=$I108,AL$16&lt;=$K108),"",0)</f>
        <v>0</v>
      </c>
      <c r="AM108" s="117">
        <f t="shared" ref="AM108:AM111" si="709">+IF(AND(AM$16&gt;=$I108,AM$16&lt;=$K108),"",0)</f>
        <v>0</v>
      </c>
      <c r="AN108" s="117">
        <f t="shared" ref="AN108:AN111" si="710">+IF(AND(AN$16&gt;=$I108,AN$16&lt;=$K108),"",0)</f>
        <v>0</v>
      </c>
      <c r="AO108" s="117">
        <f t="shared" ref="AO108:AO111" si="711">+IF(AND(AO$16&gt;=$I108,AO$16&lt;=$K108),"",0)</f>
        <v>0</v>
      </c>
      <c r="AP108" s="117">
        <f t="shared" ref="AP108:AP111" si="712">+IF(AND(AP$16&gt;=$I108,AP$16&lt;=$K108),"",0)</f>
        <v>0</v>
      </c>
      <c r="AQ108" s="118">
        <f t="shared" ref="AQ108:AQ111" si="713">+IF(AND(AQ$16&gt;=$I108,AQ$16&lt;=$K108),"",0)</f>
        <v>0</v>
      </c>
      <c r="AR108" s="115">
        <f t="shared" ref="AR108:AR111" si="714">+IF(AND(AR$16&gt;=$I108,AR$16&lt;=$K108),"",0)</f>
        <v>0</v>
      </c>
      <c r="AS108" s="115">
        <f t="shared" ref="AS108:AS111" si="715">+IF(AND(AS$16&gt;=$I108,AS$16&lt;=$K108),"",0)</f>
        <v>0</v>
      </c>
      <c r="AT108" s="115">
        <f t="shared" ref="AT108:AT111" si="716">+IF(AND(AT$16&gt;=$I108,AT$16&lt;=$K108),"",0)</f>
        <v>0</v>
      </c>
      <c r="AU108" s="115">
        <f t="shared" ref="AU108:AU111" si="717">+IF(AND(AU$16&gt;=$I108,AU$16&lt;=$K108),"",0)</f>
        <v>0</v>
      </c>
      <c r="AV108" s="115">
        <f t="shared" ref="AV108:AV111" si="718">+IF(AND(AV$16&gt;=$I108,AV$16&lt;=$K108),"",0)</f>
        <v>0</v>
      </c>
      <c r="AW108" s="115">
        <f t="shared" ref="AW108:AW111" si="719">+IF(AND(AW$16&gt;=$I108,AW$16&lt;=$K108),"",0)</f>
        <v>0</v>
      </c>
      <c r="AX108" s="115">
        <f t="shared" ref="AX108:AX111" si="720">+IF(AND(AX$16&gt;=$I108,AX$16&lt;=$K108),"",0)</f>
        <v>0</v>
      </c>
      <c r="AY108" s="40"/>
    </row>
    <row r="109" spans="1:51" s="26" customFormat="1" ht="27.6" customHeight="1" outlineLevel="1" x14ac:dyDescent="0.3">
      <c r="A109" s="13"/>
      <c r="B109" s="13"/>
      <c r="C109" s="13"/>
      <c r="D109" s="69">
        <f t="shared" si="230"/>
        <v>17</v>
      </c>
      <c r="E109" s="70" t="s">
        <v>87</v>
      </c>
      <c r="F109" s="49">
        <v>0</v>
      </c>
      <c r="G109" s="95" t="str">
        <f t="shared" si="190"/>
        <v>YES</v>
      </c>
      <c r="H109" s="96">
        <v>43696</v>
      </c>
      <c r="I109" s="96">
        <v>43696</v>
      </c>
      <c r="J109" s="96">
        <f t="shared" si="193"/>
        <v>43696</v>
      </c>
      <c r="K109" s="35">
        <f t="shared" si="194"/>
        <v>43696</v>
      </c>
      <c r="L109" s="103">
        <v>1</v>
      </c>
      <c r="M109" s="103">
        <v>1</v>
      </c>
      <c r="N109" s="103">
        <v>4</v>
      </c>
      <c r="O109" s="103">
        <v>4</v>
      </c>
      <c r="P109" s="114">
        <f t="shared" si="686"/>
        <v>0</v>
      </c>
      <c r="Q109" s="115">
        <f t="shared" si="687"/>
        <v>0</v>
      </c>
      <c r="R109" s="115">
        <f t="shared" si="688"/>
        <v>0</v>
      </c>
      <c r="S109" s="115">
        <f t="shared" si="689"/>
        <v>0</v>
      </c>
      <c r="T109" s="115">
        <f t="shared" si="690"/>
        <v>0</v>
      </c>
      <c r="U109" s="115">
        <f t="shared" si="691"/>
        <v>0</v>
      </c>
      <c r="V109" s="116">
        <f t="shared" si="692"/>
        <v>0</v>
      </c>
      <c r="W109" s="114">
        <f t="shared" si="693"/>
        <v>0</v>
      </c>
      <c r="X109" s="117">
        <f t="shared" si="694"/>
        <v>0</v>
      </c>
      <c r="Y109" s="117">
        <f t="shared" si="695"/>
        <v>0</v>
      </c>
      <c r="Z109" s="117">
        <f t="shared" si="696"/>
        <v>0</v>
      </c>
      <c r="AA109" s="117">
        <f t="shared" si="697"/>
        <v>0</v>
      </c>
      <c r="AB109" s="117">
        <f t="shared" si="698"/>
        <v>0</v>
      </c>
      <c r="AC109" s="118">
        <f t="shared" si="699"/>
        <v>0</v>
      </c>
      <c r="AD109" s="114">
        <f t="shared" si="700"/>
        <v>0</v>
      </c>
      <c r="AE109" s="117">
        <f t="shared" si="701"/>
        <v>0</v>
      </c>
      <c r="AF109" s="117">
        <f t="shared" si="702"/>
        <v>0</v>
      </c>
      <c r="AG109" s="117">
        <f t="shared" si="703"/>
        <v>0</v>
      </c>
      <c r="AH109" s="117" t="str">
        <f t="shared" si="704"/>
        <v/>
      </c>
      <c r="AI109" s="117">
        <f t="shared" si="705"/>
        <v>0</v>
      </c>
      <c r="AJ109" s="118">
        <f t="shared" si="706"/>
        <v>0</v>
      </c>
      <c r="AK109" s="114">
        <f t="shared" si="707"/>
        <v>0</v>
      </c>
      <c r="AL109" s="117">
        <f t="shared" si="708"/>
        <v>0</v>
      </c>
      <c r="AM109" s="117">
        <f t="shared" si="709"/>
        <v>0</v>
      </c>
      <c r="AN109" s="117">
        <f t="shared" si="710"/>
        <v>0</v>
      </c>
      <c r="AO109" s="117">
        <f t="shared" si="711"/>
        <v>0</v>
      </c>
      <c r="AP109" s="117">
        <f t="shared" si="712"/>
        <v>0</v>
      </c>
      <c r="AQ109" s="118">
        <f t="shared" si="713"/>
        <v>0</v>
      </c>
      <c r="AR109" s="115">
        <f t="shared" si="714"/>
        <v>0</v>
      </c>
      <c r="AS109" s="115">
        <f t="shared" si="715"/>
        <v>0</v>
      </c>
      <c r="AT109" s="115">
        <f t="shared" si="716"/>
        <v>0</v>
      </c>
      <c r="AU109" s="115">
        <f t="shared" si="717"/>
        <v>0</v>
      </c>
      <c r="AV109" s="115">
        <f t="shared" si="718"/>
        <v>0</v>
      </c>
      <c r="AW109" s="115">
        <f t="shared" si="719"/>
        <v>0</v>
      </c>
      <c r="AX109" s="115">
        <f t="shared" si="720"/>
        <v>0</v>
      </c>
      <c r="AY109" s="40"/>
    </row>
    <row r="110" spans="1:51" s="26" customFormat="1" ht="27.6" customHeight="1" outlineLevel="1" x14ac:dyDescent="0.3">
      <c r="A110" s="13"/>
      <c r="B110" s="13"/>
      <c r="C110" s="13"/>
      <c r="D110" s="69">
        <f t="shared" si="230"/>
        <v>18</v>
      </c>
      <c r="E110" s="70" t="s">
        <v>97</v>
      </c>
      <c r="F110" s="49">
        <v>0</v>
      </c>
      <c r="G110" s="95" t="str">
        <f t="shared" si="190"/>
        <v>YES</v>
      </c>
      <c r="H110" s="96">
        <v>43698</v>
      </c>
      <c r="I110" s="96">
        <v>43698</v>
      </c>
      <c r="J110" s="96">
        <f t="shared" si="193"/>
        <v>43698</v>
      </c>
      <c r="K110" s="35">
        <f t="shared" si="194"/>
        <v>43698</v>
      </c>
      <c r="L110" s="103">
        <v>1</v>
      </c>
      <c r="M110" s="103">
        <v>1</v>
      </c>
      <c r="N110" s="103">
        <v>2</v>
      </c>
      <c r="O110" s="103">
        <v>2</v>
      </c>
      <c r="P110" s="114">
        <f t="shared" si="686"/>
        <v>0</v>
      </c>
      <c r="Q110" s="115">
        <f t="shared" si="687"/>
        <v>0</v>
      </c>
      <c r="R110" s="115">
        <f t="shared" si="688"/>
        <v>0</v>
      </c>
      <c r="S110" s="115">
        <f t="shared" si="689"/>
        <v>0</v>
      </c>
      <c r="T110" s="115">
        <f t="shared" si="690"/>
        <v>0</v>
      </c>
      <c r="U110" s="115">
        <f t="shared" si="691"/>
        <v>0</v>
      </c>
      <c r="V110" s="116">
        <f t="shared" si="692"/>
        <v>0</v>
      </c>
      <c r="W110" s="114">
        <f t="shared" si="693"/>
        <v>0</v>
      </c>
      <c r="X110" s="117">
        <f t="shared" si="694"/>
        <v>0</v>
      </c>
      <c r="Y110" s="117">
        <f t="shared" si="695"/>
        <v>0</v>
      </c>
      <c r="Z110" s="117">
        <f t="shared" si="696"/>
        <v>0</v>
      </c>
      <c r="AA110" s="117">
        <f t="shared" si="697"/>
        <v>0</v>
      </c>
      <c r="AB110" s="117">
        <f t="shared" si="698"/>
        <v>0</v>
      </c>
      <c r="AC110" s="118">
        <f t="shared" si="699"/>
        <v>0</v>
      </c>
      <c r="AD110" s="114">
        <f t="shared" si="700"/>
        <v>0</v>
      </c>
      <c r="AE110" s="117">
        <f t="shared" si="701"/>
        <v>0</v>
      </c>
      <c r="AF110" s="117">
        <f t="shared" si="702"/>
        <v>0</v>
      </c>
      <c r="AG110" s="117">
        <f t="shared" si="703"/>
        <v>0</v>
      </c>
      <c r="AH110" s="117">
        <f t="shared" si="704"/>
        <v>0</v>
      </c>
      <c r="AI110" s="117">
        <f t="shared" si="705"/>
        <v>0</v>
      </c>
      <c r="AJ110" s="118" t="str">
        <f t="shared" si="706"/>
        <v/>
      </c>
      <c r="AK110" s="114">
        <f t="shared" si="707"/>
        <v>0</v>
      </c>
      <c r="AL110" s="117">
        <f t="shared" si="708"/>
        <v>0</v>
      </c>
      <c r="AM110" s="117">
        <f t="shared" si="709"/>
        <v>0</v>
      </c>
      <c r="AN110" s="117">
        <f t="shared" si="710"/>
        <v>0</v>
      </c>
      <c r="AO110" s="117">
        <f t="shared" si="711"/>
        <v>0</v>
      </c>
      <c r="AP110" s="117">
        <f t="shared" si="712"/>
        <v>0</v>
      </c>
      <c r="AQ110" s="118">
        <f t="shared" si="713"/>
        <v>0</v>
      </c>
      <c r="AR110" s="115">
        <f t="shared" si="714"/>
        <v>0</v>
      </c>
      <c r="AS110" s="115">
        <f t="shared" si="715"/>
        <v>0</v>
      </c>
      <c r="AT110" s="115">
        <f t="shared" si="716"/>
        <v>0</v>
      </c>
      <c r="AU110" s="115">
        <f t="shared" si="717"/>
        <v>0</v>
      </c>
      <c r="AV110" s="115">
        <f t="shared" si="718"/>
        <v>0</v>
      </c>
      <c r="AW110" s="115">
        <f t="shared" si="719"/>
        <v>0</v>
      </c>
      <c r="AX110" s="115">
        <f t="shared" si="720"/>
        <v>0</v>
      </c>
      <c r="AY110" s="40"/>
    </row>
    <row r="111" spans="1:51" s="26" customFormat="1" ht="27.6" customHeight="1" outlineLevel="1" x14ac:dyDescent="0.3">
      <c r="A111" s="13"/>
      <c r="B111" s="13"/>
      <c r="C111" s="13"/>
      <c r="D111" s="69">
        <f t="shared" si="230"/>
        <v>19</v>
      </c>
      <c r="E111" s="70" t="s">
        <v>88</v>
      </c>
      <c r="F111" s="49">
        <v>0</v>
      </c>
      <c r="G111" s="95" t="str">
        <f t="shared" si="190"/>
        <v>YES</v>
      </c>
      <c r="H111" s="96">
        <v>43714</v>
      </c>
      <c r="I111" s="96">
        <v>43714</v>
      </c>
      <c r="J111" s="96">
        <f t="shared" si="193"/>
        <v>43714</v>
      </c>
      <c r="K111" s="35">
        <f t="shared" si="194"/>
        <v>43714</v>
      </c>
      <c r="L111" s="103">
        <v>1</v>
      </c>
      <c r="M111" s="103">
        <v>1</v>
      </c>
      <c r="N111" s="103">
        <v>4</v>
      </c>
      <c r="O111" s="103">
        <v>4</v>
      </c>
      <c r="P111" s="114">
        <f t="shared" si="686"/>
        <v>0</v>
      </c>
      <c r="Q111" s="115">
        <f t="shared" si="687"/>
        <v>0</v>
      </c>
      <c r="R111" s="115">
        <f t="shared" si="688"/>
        <v>0</v>
      </c>
      <c r="S111" s="115">
        <f t="shared" si="689"/>
        <v>0</v>
      </c>
      <c r="T111" s="115">
        <f t="shared" si="690"/>
        <v>0</v>
      </c>
      <c r="U111" s="115">
        <f t="shared" si="691"/>
        <v>0</v>
      </c>
      <c r="V111" s="116">
        <f t="shared" si="692"/>
        <v>0</v>
      </c>
      <c r="W111" s="114">
        <f t="shared" si="693"/>
        <v>0</v>
      </c>
      <c r="X111" s="117">
        <f t="shared" si="694"/>
        <v>0</v>
      </c>
      <c r="Y111" s="117">
        <f t="shared" si="695"/>
        <v>0</v>
      </c>
      <c r="Z111" s="117">
        <f t="shared" si="696"/>
        <v>0</v>
      </c>
      <c r="AA111" s="117">
        <f t="shared" si="697"/>
        <v>0</v>
      </c>
      <c r="AB111" s="117">
        <f t="shared" si="698"/>
        <v>0</v>
      </c>
      <c r="AC111" s="118">
        <f t="shared" si="699"/>
        <v>0</v>
      </c>
      <c r="AD111" s="114">
        <f t="shared" si="700"/>
        <v>0</v>
      </c>
      <c r="AE111" s="117">
        <f t="shared" si="701"/>
        <v>0</v>
      </c>
      <c r="AF111" s="117">
        <f t="shared" si="702"/>
        <v>0</v>
      </c>
      <c r="AG111" s="117">
        <f t="shared" si="703"/>
        <v>0</v>
      </c>
      <c r="AH111" s="117">
        <f t="shared" si="704"/>
        <v>0</v>
      </c>
      <c r="AI111" s="117">
        <f t="shared" si="705"/>
        <v>0</v>
      </c>
      <c r="AJ111" s="118">
        <f t="shared" si="706"/>
        <v>0</v>
      </c>
      <c r="AK111" s="114">
        <f t="shared" si="707"/>
        <v>0</v>
      </c>
      <c r="AL111" s="117">
        <f t="shared" si="708"/>
        <v>0</v>
      </c>
      <c r="AM111" s="117">
        <f t="shared" si="709"/>
        <v>0</v>
      </c>
      <c r="AN111" s="117">
        <f t="shared" si="710"/>
        <v>0</v>
      </c>
      <c r="AO111" s="117">
        <f t="shared" si="711"/>
        <v>0</v>
      </c>
      <c r="AP111" s="117">
        <f t="shared" si="712"/>
        <v>0</v>
      </c>
      <c r="AQ111" s="118">
        <f t="shared" si="713"/>
        <v>0</v>
      </c>
      <c r="AR111" s="115">
        <f t="shared" si="714"/>
        <v>0</v>
      </c>
      <c r="AS111" s="115">
        <f t="shared" si="715"/>
        <v>0</v>
      </c>
      <c r="AT111" s="115">
        <f t="shared" si="716"/>
        <v>0</v>
      </c>
      <c r="AU111" s="115">
        <f t="shared" si="717"/>
        <v>0</v>
      </c>
      <c r="AV111" s="115">
        <f t="shared" si="718"/>
        <v>0</v>
      </c>
      <c r="AW111" s="115">
        <f t="shared" si="719"/>
        <v>0</v>
      </c>
      <c r="AX111" s="115">
        <f t="shared" si="720"/>
        <v>0</v>
      </c>
      <c r="AY111" s="40"/>
    </row>
    <row r="112" spans="1:51" s="26" customFormat="1" ht="27.6" customHeight="1" outlineLevel="1" x14ac:dyDescent="0.3">
      <c r="A112" s="13"/>
      <c r="B112" s="13"/>
      <c r="C112" s="13"/>
      <c r="D112" s="69">
        <f t="shared" si="230"/>
        <v>20</v>
      </c>
      <c r="E112" s="70" t="s">
        <v>98</v>
      </c>
      <c r="F112" s="49">
        <v>0</v>
      </c>
      <c r="G112" s="95" t="str">
        <f t="shared" si="190"/>
        <v>YES</v>
      </c>
      <c r="H112" s="96">
        <v>43716</v>
      </c>
      <c r="I112" s="96">
        <v>43716</v>
      </c>
      <c r="J112" s="96">
        <f t="shared" si="193"/>
        <v>43716</v>
      </c>
      <c r="K112" s="35">
        <f t="shared" si="194"/>
        <v>43716</v>
      </c>
      <c r="L112" s="103">
        <v>1</v>
      </c>
      <c r="M112" s="103">
        <v>1</v>
      </c>
      <c r="N112" s="103">
        <v>4</v>
      </c>
      <c r="O112" s="103">
        <v>4</v>
      </c>
      <c r="P112" s="114">
        <f t="shared" ref="P112:P115" si="721">+IF(AND(P$16&gt;=$I112,P$16&lt;=$K112),"",0)</f>
        <v>0</v>
      </c>
      <c r="Q112" s="115">
        <f t="shared" ref="Q112:Q115" si="722">+IF(AND(Q$16&gt;=$I112,Q$16&lt;=$K112),"",0)</f>
        <v>0</v>
      </c>
      <c r="R112" s="115">
        <f t="shared" ref="R112:R115" si="723">+IF(AND(R$16&gt;=$I112,R$16&lt;=$K112),"",0)</f>
        <v>0</v>
      </c>
      <c r="S112" s="115">
        <f t="shared" ref="S112:S115" si="724">+IF(AND(S$16&gt;=$I112,S$16&lt;=$K112),"",0)</f>
        <v>0</v>
      </c>
      <c r="T112" s="115">
        <f t="shared" ref="T112:T115" si="725">+IF(AND(T$16&gt;=$I112,T$16&lt;=$K112),"",0)</f>
        <v>0</v>
      </c>
      <c r="U112" s="115">
        <f t="shared" ref="U112:U115" si="726">+IF(AND(U$16&gt;=$I112,U$16&lt;=$K112),"",0)</f>
        <v>0</v>
      </c>
      <c r="V112" s="116">
        <f t="shared" ref="V112:V115" si="727">+IF(AND(V$16&gt;=$I112,V$16&lt;=$K112),"",0)</f>
        <v>0</v>
      </c>
      <c r="W112" s="114">
        <f t="shared" ref="W112:W115" si="728">+IF(AND(W$16&gt;=$I112,W$16&lt;=$K112),"",0)</f>
        <v>0</v>
      </c>
      <c r="X112" s="117">
        <f t="shared" ref="X112:X115" si="729">+IF(AND(X$16&gt;=$I112,X$16&lt;=$K112),"",0)</f>
        <v>0</v>
      </c>
      <c r="Y112" s="117">
        <f t="shared" ref="Y112:Y115" si="730">+IF(AND(Y$16&gt;=$I112,Y$16&lt;=$K112),"",0)</f>
        <v>0</v>
      </c>
      <c r="Z112" s="117">
        <f t="shared" ref="Z112:Z115" si="731">+IF(AND(Z$16&gt;=$I112,Z$16&lt;=$K112),"",0)</f>
        <v>0</v>
      </c>
      <c r="AA112" s="117">
        <f t="shared" ref="AA112:AA115" si="732">+IF(AND(AA$16&gt;=$I112,AA$16&lt;=$K112),"",0)</f>
        <v>0</v>
      </c>
      <c r="AB112" s="117">
        <f t="shared" ref="AB112:AB115" si="733">+IF(AND(AB$16&gt;=$I112,AB$16&lt;=$K112),"",0)</f>
        <v>0</v>
      </c>
      <c r="AC112" s="118">
        <f t="shared" ref="AC112:AC115" si="734">+IF(AND(AC$16&gt;=$I112,AC$16&lt;=$K112),"",0)</f>
        <v>0</v>
      </c>
      <c r="AD112" s="114">
        <f t="shared" ref="AD112:AD115" si="735">+IF(AND(AD$16&gt;=$I112,AD$16&lt;=$K112),"",0)</f>
        <v>0</v>
      </c>
      <c r="AE112" s="117">
        <f t="shared" ref="AE112:AE115" si="736">+IF(AND(AE$16&gt;=$I112,AE$16&lt;=$K112),"",0)</f>
        <v>0</v>
      </c>
      <c r="AF112" s="117">
        <f t="shared" ref="AF112:AF115" si="737">+IF(AND(AF$16&gt;=$I112,AF$16&lt;=$K112),"",0)</f>
        <v>0</v>
      </c>
      <c r="AG112" s="117">
        <f t="shared" ref="AG112:AG115" si="738">+IF(AND(AG$16&gt;=$I112,AG$16&lt;=$K112),"",0)</f>
        <v>0</v>
      </c>
      <c r="AH112" s="117">
        <f t="shared" ref="AH112:AH115" si="739">+IF(AND(AH$16&gt;=$I112,AH$16&lt;=$K112),"",0)</f>
        <v>0</v>
      </c>
      <c r="AI112" s="117">
        <f t="shared" ref="AI112:AI115" si="740">+IF(AND(AI$16&gt;=$I112,AI$16&lt;=$K112),"",0)</f>
        <v>0</v>
      </c>
      <c r="AJ112" s="118">
        <f t="shared" ref="AJ112:AJ115" si="741">+IF(AND(AJ$16&gt;=$I112,AJ$16&lt;=$K112),"",0)</f>
        <v>0</v>
      </c>
      <c r="AK112" s="114">
        <f t="shared" ref="AK112:AK115" si="742">+IF(AND(AK$16&gt;=$I112,AK$16&lt;=$K112),"",0)</f>
        <v>0</v>
      </c>
      <c r="AL112" s="117">
        <f t="shared" ref="AL112:AL115" si="743">+IF(AND(AL$16&gt;=$I112,AL$16&lt;=$K112),"",0)</f>
        <v>0</v>
      </c>
      <c r="AM112" s="117">
        <f t="shared" ref="AM112:AM115" si="744">+IF(AND(AM$16&gt;=$I112,AM$16&lt;=$K112),"",0)</f>
        <v>0</v>
      </c>
      <c r="AN112" s="117">
        <f t="shared" ref="AN112:AN115" si="745">+IF(AND(AN$16&gt;=$I112,AN$16&lt;=$K112),"",0)</f>
        <v>0</v>
      </c>
      <c r="AO112" s="117">
        <f t="shared" ref="AO112:AO115" si="746">+IF(AND(AO$16&gt;=$I112,AO$16&lt;=$K112),"",0)</f>
        <v>0</v>
      </c>
      <c r="AP112" s="117">
        <f t="shared" ref="AP112:AP115" si="747">+IF(AND(AP$16&gt;=$I112,AP$16&lt;=$K112),"",0)</f>
        <v>0</v>
      </c>
      <c r="AQ112" s="118">
        <f t="shared" ref="AQ112:AQ115" si="748">+IF(AND(AQ$16&gt;=$I112,AQ$16&lt;=$K112),"",0)</f>
        <v>0</v>
      </c>
      <c r="AR112" s="115">
        <f t="shared" ref="AR112:AR115" si="749">+IF(AND(AR$16&gt;=$I112,AR$16&lt;=$K112),"",0)</f>
        <v>0</v>
      </c>
      <c r="AS112" s="115">
        <f t="shared" ref="AS112:AS115" si="750">+IF(AND(AS$16&gt;=$I112,AS$16&lt;=$K112),"",0)</f>
        <v>0</v>
      </c>
      <c r="AT112" s="115">
        <f t="shared" ref="AT112:AT115" si="751">+IF(AND(AT$16&gt;=$I112,AT$16&lt;=$K112),"",0)</f>
        <v>0</v>
      </c>
      <c r="AU112" s="115">
        <f t="shared" ref="AU112:AU115" si="752">+IF(AND(AU$16&gt;=$I112,AU$16&lt;=$K112),"",0)</f>
        <v>0</v>
      </c>
      <c r="AV112" s="115">
        <f t="shared" ref="AV112:AV115" si="753">+IF(AND(AV$16&gt;=$I112,AV$16&lt;=$K112),"",0)</f>
        <v>0</v>
      </c>
      <c r="AW112" s="115">
        <f t="shared" ref="AW112:AW115" si="754">+IF(AND(AW$16&gt;=$I112,AW$16&lt;=$K112),"",0)</f>
        <v>0</v>
      </c>
      <c r="AX112" s="115">
        <f t="shared" ref="AX112:AX115" si="755">+IF(AND(AX$16&gt;=$I112,AX$16&lt;=$K112),"",0)</f>
        <v>0</v>
      </c>
      <c r="AY112" s="40"/>
    </row>
    <row r="113" spans="1:51" s="26" customFormat="1" ht="27.6" customHeight="1" outlineLevel="1" x14ac:dyDescent="0.3">
      <c r="A113" s="13"/>
      <c r="B113" s="13"/>
      <c r="C113" s="13"/>
      <c r="D113" s="69">
        <f t="shared" si="230"/>
        <v>21</v>
      </c>
      <c r="E113" s="70" t="s">
        <v>56</v>
      </c>
      <c r="F113" s="49">
        <v>0</v>
      </c>
      <c r="G113" s="95" t="str">
        <f t="shared" si="190"/>
        <v>YES</v>
      </c>
      <c r="H113" s="96">
        <v>43718</v>
      </c>
      <c r="I113" s="96">
        <v>43718</v>
      </c>
      <c r="J113" s="96">
        <f t="shared" si="193"/>
        <v>43718</v>
      </c>
      <c r="K113" s="35">
        <f t="shared" si="194"/>
        <v>43718</v>
      </c>
      <c r="L113" s="103">
        <v>1</v>
      </c>
      <c r="M113" s="103">
        <v>1</v>
      </c>
      <c r="N113" s="103">
        <v>2</v>
      </c>
      <c r="O113" s="103">
        <v>2</v>
      </c>
      <c r="P113" s="114">
        <f t="shared" si="721"/>
        <v>0</v>
      </c>
      <c r="Q113" s="115">
        <f t="shared" si="722"/>
        <v>0</v>
      </c>
      <c r="R113" s="115">
        <f t="shared" si="723"/>
        <v>0</v>
      </c>
      <c r="S113" s="115">
        <f t="shared" si="724"/>
        <v>0</v>
      </c>
      <c r="T113" s="115">
        <f t="shared" si="725"/>
        <v>0</v>
      </c>
      <c r="U113" s="115">
        <f t="shared" si="726"/>
        <v>0</v>
      </c>
      <c r="V113" s="116">
        <f t="shared" si="727"/>
        <v>0</v>
      </c>
      <c r="W113" s="114">
        <f t="shared" si="728"/>
        <v>0</v>
      </c>
      <c r="X113" s="117">
        <f t="shared" si="729"/>
        <v>0</v>
      </c>
      <c r="Y113" s="117">
        <f t="shared" si="730"/>
        <v>0</v>
      </c>
      <c r="Z113" s="117">
        <f t="shared" si="731"/>
        <v>0</v>
      </c>
      <c r="AA113" s="117">
        <f t="shared" si="732"/>
        <v>0</v>
      </c>
      <c r="AB113" s="117">
        <f t="shared" si="733"/>
        <v>0</v>
      </c>
      <c r="AC113" s="118">
        <f t="shared" si="734"/>
        <v>0</v>
      </c>
      <c r="AD113" s="114">
        <f t="shared" si="735"/>
        <v>0</v>
      </c>
      <c r="AE113" s="117">
        <f t="shared" si="736"/>
        <v>0</v>
      </c>
      <c r="AF113" s="117">
        <f t="shared" si="737"/>
        <v>0</v>
      </c>
      <c r="AG113" s="117">
        <f t="shared" si="738"/>
        <v>0</v>
      </c>
      <c r="AH113" s="117">
        <f t="shared" si="739"/>
        <v>0</v>
      </c>
      <c r="AI113" s="117">
        <f t="shared" si="740"/>
        <v>0</v>
      </c>
      <c r="AJ113" s="118">
        <f t="shared" si="741"/>
        <v>0</v>
      </c>
      <c r="AK113" s="114">
        <f t="shared" si="742"/>
        <v>0</v>
      </c>
      <c r="AL113" s="117">
        <f t="shared" si="743"/>
        <v>0</v>
      </c>
      <c r="AM113" s="117">
        <f t="shared" si="744"/>
        <v>0</v>
      </c>
      <c r="AN113" s="117">
        <f t="shared" si="745"/>
        <v>0</v>
      </c>
      <c r="AO113" s="117">
        <f t="shared" si="746"/>
        <v>0</v>
      </c>
      <c r="AP113" s="117">
        <f t="shared" si="747"/>
        <v>0</v>
      </c>
      <c r="AQ113" s="118">
        <f t="shared" si="748"/>
        <v>0</v>
      </c>
      <c r="AR113" s="115">
        <f t="shared" si="749"/>
        <v>0</v>
      </c>
      <c r="AS113" s="115">
        <f t="shared" si="750"/>
        <v>0</v>
      </c>
      <c r="AT113" s="115">
        <f t="shared" si="751"/>
        <v>0</v>
      </c>
      <c r="AU113" s="115">
        <f t="shared" si="752"/>
        <v>0</v>
      </c>
      <c r="AV113" s="115">
        <f t="shared" si="753"/>
        <v>0</v>
      </c>
      <c r="AW113" s="115">
        <f t="shared" si="754"/>
        <v>0</v>
      </c>
      <c r="AX113" s="115">
        <f t="shared" si="755"/>
        <v>0</v>
      </c>
      <c r="AY113" s="40"/>
    </row>
    <row r="114" spans="1:51" s="200" customFormat="1" ht="27.6" customHeight="1" outlineLevel="1" x14ac:dyDescent="0.3">
      <c r="A114" s="191"/>
      <c r="B114" s="191"/>
      <c r="C114" s="191"/>
      <c r="D114" s="170" t="s">
        <v>114</v>
      </c>
      <c r="E114" s="171" t="s">
        <v>104</v>
      </c>
      <c r="F114" s="172"/>
      <c r="G114" s="173" t="str">
        <f t="shared" si="190"/>
        <v>YES</v>
      </c>
      <c r="H114" s="174"/>
      <c r="I114" s="174"/>
      <c r="J114" s="176"/>
      <c r="K114" s="177"/>
      <c r="L114" s="194"/>
      <c r="M114" s="194"/>
      <c r="N114" s="194"/>
      <c r="O114" s="194"/>
      <c r="P114" s="195">
        <f t="shared" si="721"/>
        <v>0</v>
      </c>
      <c r="Q114" s="196">
        <f t="shared" si="722"/>
        <v>0</v>
      </c>
      <c r="R114" s="196">
        <f t="shared" si="723"/>
        <v>0</v>
      </c>
      <c r="S114" s="196">
        <f t="shared" si="724"/>
        <v>0</v>
      </c>
      <c r="T114" s="196">
        <f t="shared" si="725"/>
        <v>0</v>
      </c>
      <c r="U114" s="196">
        <f t="shared" si="726"/>
        <v>0</v>
      </c>
      <c r="V114" s="197">
        <f t="shared" si="727"/>
        <v>0</v>
      </c>
      <c r="W114" s="195">
        <f t="shared" si="728"/>
        <v>0</v>
      </c>
      <c r="X114" s="198">
        <f t="shared" si="729"/>
        <v>0</v>
      </c>
      <c r="Y114" s="198">
        <f t="shared" si="730"/>
        <v>0</v>
      </c>
      <c r="Z114" s="198">
        <f t="shared" si="731"/>
        <v>0</v>
      </c>
      <c r="AA114" s="198">
        <f t="shared" si="732"/>
        <v>0</v>
      </c>
      <c r="AB114" s="198">
        <f t="shared" si="733"/>
        <v>0</v>
      </c>
      <c r="AC114" s="199">
        <f t="shared" si="734"/>
        <v>0</v>
      </c>
      <c r="AD114" s="195">
        <f t="shared" si="735"/>
        <v>0</v>
      </c>
      <c r="AE114" s="198">
        <f t="shared" si="736"/>
        <v>0</v>
      </c>
      <c r="AF114" s="198">
        <f t="shared" si="737"/>
        <v>0</v>
      </c>
      <c r="AG114" s="198">
        <f t="shared" si="738"/>
        <v>0</v>
      </c>
      <c r="AH114" s="198">
        <f t="shared" si="739"/>
        <v>0</v>
      </c>
      <c r="AI114" s="198">
        <f t="shared" si="740"/>
        <v>0</v>
      </c>
      <c r="AJ114" s="199">
        <f t="shared" si="741"/>
        <v>0</v>
      </c>
      <c r="AK114" s="195">
        <f t="shared" si="742"/>
        <v>0</v>
      </c>
      <c r="AL114" s="198">
        <f t="shared" si="743"/>
        <v>0</v>
      </c>
      <c r="AM114" s="198">
        <f t="shared" si="744"/>
        <v>0</v>
      </c>
      <c r="AN114" s="198">
        <f t="shared" si="745"/>
        <v>0</v>
      </c>
      <c r="AO114" s="198">
        <f t="shared" si="746"/>
        <v>0</v>
      </c>
      <c r="AP114" s="198">
        <f t="shared" si="747"/>
        <v>0</v>
      </c>
      <c r="AQ114" s="199">
        <f t="shared" si="748"/>
        <v>0</v>
      </c>
      <c r="AR114" s="196">
        <f t="shared" si="749"/>
        <v>0</v>
      </c>
      <c r="AS114" s="196">
        <f t="shared" si="750"/>
        <v>0</v>
      </c>
      <c r="AT114" s="196">
        <f t="shared" si="751"/>
        <v>0</v>
      </c>
      <c r="AU114" s="196">
        <f t="shared" si="752"/>
        <v>0</v>
      </c>
      <c r="AV114" s="196">
        <f t="shared" si="753"/>
        <v>0</v>
      </c>
      <c r="AW114" s="196">
        <f t="shared" si="754"/>
        <v>0</v>
      </c>
      <c r="AX114" s="196">
        <f t="shared" si="755"/>
        <v>0</v>
      </c>
      <c r="AY114" s="187"/>
    </row>
    <row r="115" spans="1:51" s="26" customFormat="1" ht="27.6" customHeight="1" outlineLevel="1" x14ac:dyDescent="0.3">
      <c r="A115" s="13"/>
      <c r="B115" s="13"/>
      <c r="C115" s="13"/>
      <c r="D115" s="69">
        <v>1</v>
      </c>
      <c r="E115" s="70" t="s">
        <v>79</v>
      </c>
      <c r="F115" s="49">
        <v>0</v>
      </c>
      <c r="G115" s="95" t="str">
        <f t="shared" si="190"/>
        <v>YES</v>
      </c>
      <c r="H115" s="96">
        <v>43689</v>
      </c>
      <c r="I115" s="96">
        <v>43689</v>
      </c>
      <c r="J115" s="96">
        <f t="shared" ref="J115:J132" si="756">+H115+L115-1</f>
        <v>43690</v>
      </c>
      <c r="K115" s="35">
        <f t="shared" ref="K115:K132" si="757">+I115+M115-1</f>
        <v>43690</v>
      </c>
      <c r="L115" s="103">
        <v>2</v>
      </c>
      <c r="M115" s="103">
        <v>2</v>
      </c>
      <c r="N115" s="103">
        <v>8</v>
      </c>
      <c r="O115" s="103">
        <v>8</v>
      </c>
      <c r="P115" s="114">
        <f t="shared" si="721"/>
        <v>0</v>
      </c>
      <c r="Q115" s="115">
        <f t="shared" si="722"/>
        <v>0</v>
      </c>
      <c r="R115" s="115">
        <f t="shared" si="723"/>
        <v>0</v>
      </c>
      <c r="S115" s="115">
        <f t="shared" si="724"/>
        <v>0</v>
      </c>
      <c r="T115" s="115">
        <f t="shared" si="725"/>
        <v>0</v>
      </c>
      <c r="U115" s="115">
        <f t="shared" si="726"/>
        <v>0</v>
      </c>
      <c r="V115" s="116">
        <f t="shared" si="727"/>
        <v>0</v>
      </c>
      <c r="W115" s="114">
        <f t="shared" si="728"/>
        <v>0</v>
      </c>
      <c r="X115" s="117">
        <f t="shared" si="729"/>
        <v>0</v>
      </c>
      <c r="Y115" s="117">
        <f t="shared" si="730"/>
        <v>0</v>
      </c>
      <c r="Z115" s="117">
        <f t="shared" si="731"/>
        <v>0</v>
      </c>
      <c r="AA115" s="117" t="str">
        <f t="shared" si="732"/>
        <v/>
      </c>
      <c r="AB115" s="117" t="str">
        <f t="shared" si="733"/>
        <v/>
      </c>
      <c r="AC115" s="118">
        <f t="shared" si="734"/>
        <v>0</v>
      </c>
      <c r="AD115" s="114">
        <f t="shared" si="735"/>
        <v>0</v>
      </c>
      <c r="AE115" s="117">
        <f t="shared" si="736"/>
        <v>0</v>
      </c>
      <c r="AF115" s="117">
        <f t="shared" si="737"/>
        <v>0</v>
      </c>
      <c r="AG115" s="117">
        <f t="shared" si="738"/>
        <v>0</v>
      </c>
      <c r="AH115" s="117">
        <f t="shared" si="739"/>
        <v>0</v>
      </c>
      <c r="AI115" s="117">
        <f t="shared" si="740"/>
        <v>0</v>
      </c>
      <c r="AJ115" s="118">
        <f t="shared" si="741"/>
        <v>0</v>
      </c>
      <c r="AK115" s="114">
        <f t="shared" si="742"/>
        <v>0</v>
      </c>
      <c r="AL115" s="117">
        <f t="shared" si="743"/>
        <v>0</v>
      </c>
      <c r="AM115" s="117">
        <f t="shared" si="744"/>
        <v>0</v>
      </c>
      <c r="AN115" s="117">
        <f t="shared" si="745"/>
        <v>0</v>
      </c>
      <c r="AO115" s="117">
        <f t="shared" si="746"/>
        <v>0</v>
      </c>
      <c r="AP115" s="117">
        <f t="shared" si="747"/>
        <v>0</v>
      </c>
      <c r="AQ115" s="118">
        <f t="shared" si="748"/>
        <v>0</v>
      </c>
      <c r="AR115" s="115">
        <f t="shared" si="749"/>
        <v>0</v>
      </c>
      <c r="AS115" s="115">
        <f t="shared" si="750"/>
        <v>0</v>
      </c>
      <c r="AT115" s="115">
        <f t="shared" si="751"/>
        <v>0</v>
      </c>
      <c r="AU115" s="115">
        <f t="shared" si="752"/>
        <v>0</v>
      </c>
      <c r="AV115" s="115">
        <f t="shared" si="753"/>
        <v>0</v>
      </c>
      <c r="AW115" s="115">
        <f t="shared" si="754"/>
        <v>0</v>
      </c>
      <c r="AX115" s="115">
        <f t="shared" si="755"/>
        <v>0</v>
      </c>
      <c r="AY115" s="40"/>
    </row>
    <row r="116" spans="1:51" s="26" customFormat="1" ht="27.6" customHeight="1" outlineLevel="1" x14ac:dyDescent="0.3">
      <c r="A116" s="13"/>
      <c r="B116" s="13"/>
      <c r="C116" s="13"/>
      <c r="D116" s="69">
        <f t="shared" ref="D116:D139" si="758">+D115+1</f>
        <v>2</v>
      </c>
      <c r="E116" s="70" t="s">
        <v>89</v>
      </c>
      <c r="F116" s="49">
        <v>0</v>
      </c>
      <c r="G116" s="95" t="str">
        <f t="shared" si="190"/>
        <v>YES</v>
      </c>
      <c r="H116" s="96">
        <v>43692</v>
      </c>
      <c r="I116" s="96">
        <v>43692</v>
      </c>
      <c r="J116" s="96">
        <f t="shared" si="756"/>
        <v>43696</v>
      </c>
      <c r="K116" s="35">
        <f t="shared" si="757"/>
        <v>43696</v>
      </c>
      <c r="L116" s="103">
        <v>5</v>
      </c>
      <c r="M116" s="103">
        <v>5</v>
      </c>
      <c r="N116" s="103">
        <v>8</v>
      </c>
      <c r="O116" s="103">
        <v>8</v>
      </c>
      <c r="P116" s="114">
        <f t="shared" ref="P116:P119" si="759">+IF(AND(P$16&gt;=$I116,P$16&lt;=$K116),"",0)</f>
        <v>0</v>
      </c>
      <c r="Q116" s="115">
        <f t="shared" ref="Q116:Q119" si="760">+IF(AND(Q$16&gt;=$I116,Q$16&lt;=$K116),"",0)</f>
        <v>0</v>
      </c>
      <c r="R116" s="115">
        <f t="shared" ref="R116:R119" si="761">+IF(AND(R$16&gt;=$I116,R$16&lt;=$K116),"",0)</f>
        <v>0</v>
      </c>
      <c r="S116" s="115">
        <f t="shared" ref="S116:S119" si="762">+IF(AND(S$16&gt;=$I116,S$16&lt;=$K116),"",0)</f>
        <v>0</v>
      </c>
      <c r="T116" s="115">
        <f t="shared" ref="T116:T119" si="763">+IF(AND(T$16&gt;=$I116,T$16&lt;=$K116),"",0)</f>
        <v>0</v>
      </c>
      <c r="U116" s="115">
        <f t="shared" ref="U116:U119" si="764">+IF(AND(U$16&gt;=$I116,U$16&lt;=$K116),"",0)</f>
        <v>0</v>
      </c>
      <c r="V116" s="116">
        <f t="shared" ref="V116:V119" si="765">+IF(AND(V$16&gt;=$I116,V$16&lt;=$K116),"",0)</f>
        <v>0</v>
      </c>
      <c r="W116" s="114">
        <f t="shared" ref="W116:W119" si="766">+IF(AND(W$16&gt;=$I116,W$16&lt;=$K116),"",0)</f>
        <v>0</v>
      </c>
      <c r="X116" s="117">
        <f t="shared" ref="X116:X119" si="767">+IF(AND(X$16&gt;=$I116,X$16&lt;=$K116),"",0)</f>
        <v>0</v>
      </c>
      <c r="Y116" s="117">
        <f t="shared" ref="Y116:Y119" si="768">+IF(AND(Y$16&gt;=$I116,Y$16&lt;=$K116),"",0)</f>
        <v>0</v>
      </c>
      <c r="Z116" s="117">
        <f t="shared" ref="Z116:Z119" si="769">+IF(AND(Z$16&gt;=$I116,Z$16&lt;=$K116),"",0)</f>
        <v>0</v>
      </c>
      <c r="AA116" s="117">
        <f t="shared" ref="AA116:AA119" si="770">+IF(AND(AA$16&gt;=$I116,AA$16&lt;=$K116),"",0)</f>
        <v>0</v>
      </c>
      <c r="AB116" s="117">
        <f t="shared" ref="AB116:AB119" si="771">+IF(AND(AB$16&gt;=$I116,AB$16&lt;=$K116),"",0)</f>
        <v>0</v>
      </c>
      <c r="AC116" s="118">
        <f t="shared" ref="AC116:AC119" si="772">+IF(AND(AC$16&gt;=$I116,AC$16&lt;=$K116),"",0)</f>
        <v>0</v>
      </c>
      <c r="AD116" s="114" t="str">
        <f t="shared" ref="AD116:AD119" si="773">+IF(AND(AD$16&gt;=$I116,AD$16&lt;=$K116),"",0)</f>
        <v/>
      </c>
      <c r="AE116" s="117" t="str">
        <f t="shared" ref="AE116:AE119" si="774">+IF(AND(AE$16&gt;=$I116,AE$16&lt;=$K116),"",0)</f>
        <v/>
      </c>
      <c r="AF116" s="117" t="str">
        <f t="shared" ref="AF116:AF119" si="775">+IF(AND(AF$16&gt;=$I116,AF$16&lt;=$K116),"",0)</f>
        <v/>
      </c>
      <c r="AG116" s="117" t="str">
        <f t="shared" ref="AG116:AG119" si="776">+IF(AND(AG$16&gt;=$I116,AG$16&lt;=$K116),"",0)</f>
        <v/>
      </c>
      <c r="AH116" s="117" t="str">
        <f t="shared" ref="AH116:AH119" si="777">+IF(AND(AH$16&gt;=$I116,AH$16&lt;=$K116),"",0)</f>
        <v/>
      </c>
      <c r="AI116" s="117">
        <f t="shared" ref="AI116:AI119" si="778">+IF(AND(AI$16&gt;=$I116,AI$16&lt;=$K116),"",0)</f>
        <v>0</v>
      </c>
      <c r="AJ116" s="118">
        <f t="shared" ref="AJ116:AJ119" si="779">+IF(AND(AJ$16&gt;=$I116,AJ$16&lt;=$K116),"",0)</f>
        <v>0</v>
      </c>
      <c r="AK116" s="114">
        <f t="shared" ref="AK116:AK119" si="780">+IF(AND(AK$16&gt;=$I116,AK$16&lt;=$K116),"",0)</f>
        <v>0</v>
      </c>
      <c r="AL116" s="117">
        <f t="shared" ref="AL116:AL119" si="781">+IF(AND(AL$16&gt;=$I116,AL$16&lt;=$K116),"",0)</f>
        <v>0</v>
      </c>
      <c r="AM116" s="117">
        <f t="shared" ref="AM116:AM119" si="782">+IF(AND(AM$16&gt;=$I116,AM$16&lt;=$K116),"",0)</f>
        <v>0</v>
      </c>
      <c r="AN116" s="117">
        <f t="shared" ref="AN116:AN119" si="783">+IF(AND(AN$16&gt;=$I116,AN$16&lt;=$K116),"",0)</f>
        <v>0</v>
      </c>
      <c r="AO116" s="117">
        <f t="shared" ref="AO116:AO119" si="784">+IF(AND(AO$16&gt;=$I116,AO$16&lt;=$K116),"",0)</f>
        <v>0</v>
      </c>
      <c r="AP116" s="117">
        <f t="shared" ref="AP116:AP119" si="785">+IF(AND(AP$16&gt;=$I116,AP$16&lt;=$K116),"",0)</f>
        <v>0</v>
      </c>
      <c r="AQ116" s="118">
        <f t="shared" ref="AQ116:AQ119" si="786">+IF(AND(AQ$16&gt;=$I116,AQ$16&lt;=$K116),"",0)</f>
        <v>0</v>
      </c>
      <c r="AR116" s="115">
        <f t="shared" ref="AR116:AR119" si="787">+IF(AND(AR$16&gt;=$I116,AR$16&lt;=$K116),"",0)</f>
        <v>0</v>
      </c>
      <c r="AS116" s="115">
        <f t="shared" ref="AS116:AS119" si="788">+IF(AND(AS$16&gt;=$I116,AS$16&lt;=$K116),"",0)</f>
        <v>0</v>
      </c>
      <c r="AT116" s="115">
        <f t="shared" ref="AT116:AT119" si="789">+IF(AND(AT$16&gt;=$I116,AT$16&lt;=$K116),"",0)</f>
        <v>0</v>
      </c>
      <c r="AU116" s="115">
        <f t="shared" ref="AU116:AU119" si="790">+IF(AND(AU$16&gt;=$I116,AU$16&lt;=$K116),"",0)</f>
        <v>0</v>
      </c>
      <c r="AV116" s="115">
        <f t="shared" ref="AV116:AV119" si="791">+IF(AND(AV$16&gt;=$I116,AV$16&lt;=$K116),"",0)</f>
        <v>0</v>
      </c>
      <c r="AW116" s="115">
        <f t="shared" ref="AW116:AW119" si="792">+IF(AND(AW$16&gt;=$I116,AW$16&lt;=$K116),"",0)</f>
        <v>0</v>
      </c>
      <c r="AX116" s="115">
        <f t="shared" ref="AX116:AX119" si="793">+IF(AND(AX$16&gt;=$I116,AX$16&lt;=$K116),"",0)</f>
        <v>0</v>
      </c>
      <c r="AY116" s="40"/>
    </row>
    <row r="117" spans="1:51" s="26" customFormat="1" ht="27.6" customHeight="1" outlineLevel="1" x14ac:dyDescent="0.3">
      <c r="A117" s="13"/>
      <c r="B117" s="13"/>
      <c r="C117" s="13"/>
      <c r="D117" s="69">
        <f t="shared" si="758"/>
        <v>3</v>
      </c>
      <c r="E117" s="70" t="s">
        <v>105</v>
      </c>
      <c r="F117" s="49">
        <v>0</v>
      </c>
      <c r="G117" s="95" t="str">
        <f t="shared" si="190"/>
        <v>YES</v>
      </c>
      <c r="H117" s="96">
        <v>43698</v>
      </c>
      <c r="I117" s="96">
        <v>43698</v>
      </c>
      <c r="J117" s="96">
        <f t="shared" si="756"/>
        <v>43702</v>
      </c>
      <c r="K117" s="35">
        <f t="shared" si="757"/>
        <v>43702</v>
      </c>
      <c r="L117" s="103">
        <v>5</v>
      </c>
      <c r="M117" s="103">
        <v>5</v>
      </c>
      <c r="N117" s="103">
        <v>8</v>
      </c>
      <c r="O117" s="103">
        <v>8</v>
      </c>
      <c r="P117" s="114">
        <f t="shared" si="759"/>
        <v>0</v>
      </c>
      <c r="Q117" s="115">
        <f t="shared" si="760"/>
        <v>0</v>
      </c>
      <c r="R117" s="115">
        <f t="shared" si="761"/>
        <v>0</v>
      </c>
      <c r="S117" s="115">
        <f t="shared" si="762"/>
        <v>0</v>
      </c>
      <c r="T117" s="115">
        <f t="shared" si="763"/>
        <v>0</v>
      </c>
      <c r="U117" s="115">
        <f t="shared" si="764"/>
        <v>0</v>
      </c>
      <c r="V117" s="116">
        <f t="shared" si="765"/>
        <v>0</v>
      </c>
      <c r="W117" s="114">
        <f t="shared" si="766"/>
        <v>0</v>
      </c>
      <c r="X117" s="117">
        <f t="shared" si="767"/>
        <v>0</v>
      </c>
      <c r="Y117" s="117">
        <f t="shared" si="768"/>
        <v>0</v>
      </c>
      <c r="Z117" s="117">
        <f t="shared" si="769"/>
        <v>0</v>
      </c>
      <c r="AA117" s="117">
        <f t="shared" si="770"/>
        <v>0</v>
      </c>
      <c r="AB117" s="117">
        <f t="shared" si="771"/>
        <v>0</v>
      </c>
      <c r="AC117" s="118">
        <f t="shared" si="772"/>
        <v>0</v>
      </c>
      <c r="AD117" s="114">
        <f t="shared" si="773"/>
        <v>0</v>
      </c>
      <c r="AE117" s="117">
        <f t="shared" si="774"/>
        <v>0</v>
      </c>
      <c r="AF117" s="117">
        <f t="shared" si="775"/>
        <v>0</v>
      </c>
      <c r="AG117" s="117">
        <f t="shared" si="776"/>
        <v>0</v>
      </c>
      <c r="AH117" s="117">
        <f t="shared" si="777"/>
        <v>0</v>
      </c>
      <c r="AI117" s="117">
        <f t="shared" si="778"/>
        <v>0</v>
      </c>
      <c r="AJ117" s="118" t="str">
        <f t="shared" si="779"/>
        <v/>
      </c>
      <c r="AK117" s="114" t="str">
        <f t="shared" si="780"/>
        <v/>
      </c>
      <c r="AL117" s="117" t="str">
        <f t="shared" si="781"/>
        <v/>
      </c>
      <c r="AM117" s="117" t="str">
        <f t="shared" si="782"/>
        <v/>
      </c>
      <c r="AN117" s="117" t="str">
        <f t="shared" si="783"/>
        <v/>
      </c>
      <c r="AO117" s="117">
        <f t="shared" si="784"/>
        <v>0</v>
      </c>
      <c r="AP117" s="117">
        <f t="shared" si="785"/>
        <v>0</v>
      </c>
      <c r="AQ117" s="118">
        <f t="shared" si="786"/>
        <v>0</v>
      </c>
      <c r="AR117" s="115">
        <f t="shared" si="787"/>
        <v>0</v>
      </c>
      <c r="AS117" s="115">
        <f t="shared" si="788"/>
        <v>0</v>
      </c>
      <c r="AT117" s="115">
        <f t="shared" si="789"/>
        <v>0</v>
      </c>
      <c r="AU117" s="115">
        <f t="shared" si="790"/>
        <v>0</v>
      </c>
      <c r="AV117" s="115">
        <f t="shared" si="791"/>
        <v>0</v>
      </c>
      <c r="AW117" s="115">
        <f t="shared" si="792"/>
        <v>0</v>
      </c>
      <c r="AX117" s="115">
        <f t="shared" si="793"/>
        <v>0</v>
      </c>
      <c r="AY117" s="40"/>
    </row>
    <row r="118" spans="1:51" s="26" customFormat="1" ht="27.6" customHeight="1" outlineLevel="1" x14ac:dyDescent="0.3">
      <c r="A118" s="13"/>
      <c r="B118" s="13"/>
      <c r="C118" s="13"/>
      <c r="D118" s="69">
        <f t="shared" si="758"/>
        <v>4</v>
      </c>
      <c r="E118" s="70" t="s">
        <v>80</v>
      </c>
      <c r="F118" s="49">
        <v>0</v>
      </c>
      <c r="G118" s="95" t="str">
        <f t="shared" si="190"/>
        <v>YES</v>
      </c>
      <c r="H118" s="96">
        <v>43606</v>
      </c>
      <c r="I118" s="96">
        <v>43606</v>
      </c>
      <c r="J118" s="96">
        <f t="shared" si="756"/>
        <v>43606</v>
      </c>
      <c r="K118" s="35">
        <f t="shared" si="757"/>
        <v>43606</v>
      </c>
      <c r="L118" s="103">
        <v>1</v>
      </c>
      <c r="M118" s="103">
        <v>1</v>
      </c>
      <c r="N118" s="103">
        <v>8</v>
      </c>
      <c r="O118" s="103">
        <v>8</v>
      </c>
      <c r="P118" s="114">
        <f t="shared" si="759"/>
        <v>0</v>
      </c>
      <c r="Q118" s="115">
        <f t="shared" si="760"/>
        <v>0</v>
      </c>
      <c r="R118" s="115">
        <f t="shared" si="761"/>
        <v>0</v>
      </c>
      <c r="S118" s="115">
        <f t="shared" si="762"/>
        <v>0</v>
      </c>
      <c r="T118" s="115">
        <f t="shared" si="763"/>
        <v>0</v>
      </c>
      <c r="U118" s="115">
        <f t="shared" si="764"/>
        <v>0</v>
      </c>
      <c r="V118" s="116">
        <f t="shared" si="765"/>
        <v>0</v>
      </c>
      <c r="W118" s="114">
        <f t="shared" si="766"/>
        <v>0</v>
      </c>
      <c r="X118" s="117">
        <f t="shared" si="767"/>
        <v>0</v>
      </c>
      <c r="Y118" s="117">
        <f t="shared" si="768"/>
        <v>0</v>
      </c>
      <c r="Z118" s="117">
        <f t="shared" si="769"/>
        <v>0</v>
      </c>
      <c r="AA118" s="117">
        <f t="shared" si="770"/>
        <v>0</v>
      </c>
      <c r="AB118" s="117">
        <f t="shared" si="771"/>
        <v>0</v>
      </c>
      <c r="AC118" s="118">
        <f t="shared" si="772"/>
        <v>0</v>
      </c>
      <c r="AD118" s="114">
        <f t="shared" si="773"/>
        <v>0</v>
      </c>
      <c r="AE118" s="117">
        <f t="shared" si="774"/>
        <v>0</v>
      </c>
      <c r="AF118" s="117">
        <f t="shared" si="775"/>
        <v>0</v>
      </c>
      <c r="AG118" s="117">
        <f t="shared" si="776"/>
        <v>0</v>
      </c>
      <c r="AH118" s="117">
        <f t="shared" si="777"/>
        <v>0</v>
      </c>
      <c r="AI118" s="117">
        <f t="shared" si="778"/>
        <v>0</v>
      </c>
      <c r="AJ118" s="118">
        <f t="shared" si="779"/>
        <v>0</v>
      </c>
      <c r="AK118" s="114">
        <f t="shared" si="780"/>
        <v>0</v>
      </c>
      <c r="AL118" s="117">
        <f t="shared" si="781"/>
        <v>0</v>
      </c>
      <c r="AM118" s="117">
        <f t="shared" si="782"/>
        <v>0</v>
      </c>
      <c r="AN118" s="117">
        <f t="shared" si="783"/>
        <v>0</v>
      </c>
      <c r="AO118" s="117">
        <f t="shared" si="784"/>
        <v>0</v>
      </c>
      <c r="AP118" s="117">
        <f t="shared" si="785"/>
        <v>0</v>
      </c>
      <c r="AQ118" s="118">
        <f t="shared" si="786"/>
        <v>0</v>
      </c>
      <c r="AR118" s="115">
        <f t="shared" si="787"/>
        <v>0</v>
      </c>
      <c r="AS118" s="115">
        <f t="shared" si="788"/>
        <v>0</v>
      </c>
      <c r="AT118" s="115">
        <f t="shared" si="789"/>
        <v>0</v>
      </c>
      <c r="AU118" s="115">
        <f t="shared" si="790"/>
        <v>0</v>
      </c>
      <c r="AV118" s="115">
        <f t="shared" si="791"/>
        <v>0</v>
      </c>
      <c r="AW118" s="115">
        <f t="shared" si="792"/>
        <v>0</v>
      </c>
      <c r="AX118" s="115">
        <f t="shared" si="793"/>
        <v>0</v>
      </c>
      <c r="AY118" s="40"/>
    </row>
    <row r="119" spans="1:51" s="26" customFormat="1" ht="27.6" customHeight="1" outlineLevel="1" x14ac:dyDescent="0.3">
      <c r="A119" s="13"/>
      <c r="B119" s="13"/>
      <c r="C119" s="13"/>
      <c r="D119" s="69">
        <f t="shared" si="758"/>
        <v>5</v>
      </c>
      <c r="E119" s="70" t="s">
        <v>90</v>
      </c>
      <c r="F119" s="49">
        <v>0</v>
      </c>
      <c r="G119" s="95" t="str">
        <f t="shared" si="190"/>
        <v>YES</v>
      </c>
      <c r="H119" s="96">
        <v>43608</v>
      </c>
      <c r="I119" s="96">
        <v>43608</v>
      </c>
      <c r="J119" s="96">
        <f t="shared" si="756"/>
        <v>43612</v>
      </c>
      <c r="K119" s="35">
        <f t="shared" si="757"/>
        <v>43612</v>
      </c>
      <c r="L119" s="103">
        <v>5</v>
      </c>
      <c r="M119" s="103">
        <v>5</v>
      </c>
      <c r="N119" s="103">
        <v>8</v>
      </c>
      <c r="O119" s="103">
        <v>8</v>
      </c>
      <c r="P119" s="114">
        <f t="shared" si="759"/>
        <v>0</v>
      </c>
      <c r="Q119" s="115">
        <f t="shared" si="760"/>
        <v>0</v>
      </c>
      <c r="R119" s="115">
        <f t="shared" si="761"/>
        <v>0</v>
      </c>
      <c r="S119" s="115">
        <f t="shared" si="762"/>
        <v>0</v>
      </c>
      <c r="T119" s="115">
        <f t="shared" si="763"/>
        <v>0</v>
      </c>
      <c r="U119" s="115">
        <f t="shared" si="764"/>
        <v>0</v>
      </c>
      <c r="V119" s="116">
        <f t="shared" si="765"/>
        <v>0</v>
      </c>
      <c r="W119" s="114">
        <f t="shared" si="766"/>
        <v>0</v>
      </c>
      <c r="X119" s="117">
        <f t="shared" si="767"/>
        <v>0</v>
      </c>
      <c r="Y119" s="117">
        <f t="shared" si="768"/>
        <v>0</v>
      </c>
      <c r="Z119" s="117">
        <f t="shared" si="769"/>
        <v>0</v>
      </c>
      <c r="AA119" s="117">
        <f t="shared" si="770"/>
        <v>0</v>
      </c>
      <c r="AB119" s="117">
        <f t="shared" si="771"/>
        <v>0</v>
      </c>
      <c r="AC119" s="118">
        <f t="shared" si="772"/>
        <v>0</v>
      </c>
      <c r="AD119" s="114">
        <f t="shared" si="773"/>
        <v>0</v>
      </c>
      <c r="AE119" s="117">
        <f t="shared" si="774"/>
        <v>0</v>
      </c>
      <c r="AF119" s="117">
        <f t="shared" si="775"/>
        <v>0</v>
      </c>
      <c r="AG119" s="117">
        <f t="shared" si="776"/>
        <v>0</v>
      </c>
      <c r="AH119" s="117">
        <f t="shared" si="777"/>
        <v>0</v>
      </c>
      <c r="AI119" s="117">
        <f t="shared" si="778"/>
        <v>0</v>
      </c>
      <c r="AJ119" s="118">
        <f t="shared" si="779"/>
        <v>0</v>
      </c>
      <c r="AK119" s="114">
        <f t="shared" si="780"/>
        <v>0</v>
      </c>
      <c r="AL119" s="117">
        <f t="shared" si="781"/>
        <v>0</v>
      </c>
      <c r="AM119" s="117">
        <f t="shared" si="782"/>
        <v>0</v>
      </c>
      <c r="AN119" s="117">
        <f t="shared" si="783"/>
        <v>0</v>
      </c>
      <c r="AO119" s="117">
        <f t="shared" si="784"/>
        <v>0</v>
      </c>
      <c r="AP119" s="117">
        <f t="shared" si="785"/>
        <v>0</v>
      </c>
      <c r="AQ119" s="118">
        <f t="shared" si="786"/>
        <v>0</v>
      </c>
      <c r="AR119" s="115">
        <f t="shared" si="787"/>
        <v>0</v>
      </c>
      <c r="AS119" s="115">
        <f t="shared" si="788"/>
        <v>0</v>
      </c>
      <c r="AT119" s="115">
        <f t="shared" si="789"/>
        <v>0</v>
      </c>
      <c r="AU119" s="115">
        <f t="shared" si="790"/>
        <v>0</v>
      </c>
      <c r="AV119" s="115">
        <f t="shared" si="791"/>
        <v>0</v>
      </c>
      <c r="AW119" s="115">
        <f t="shared" si="792"/>
        <v>0</v>
      </c>
      <c r="AX119" s="115">
        <f t="shared" si="793"/>
        <v>0</v>
      </c>
      <c r="AY119" s="40"/>
    </row>
    <row r="120" spans="1:51" s="26" customFormat="1" ht="27.6" customHeight="1" outlineLevel="1" x14ac:dyDescent="0.3">
      <c r="A120" s="13"/>
      <c r="B120" s="13"/>
      <c r="C120" s="13"/>
      <c r="D120" s="69">
        <f t="shared" si="758"/>
        <v>6</v>
      </c>
      <c r="E120" s="70" t="s">
        <v>106</v>
      </c>
      <c r="F120" s="49">
        <v>0</v>
      </c>
      <c r="G120" s="95" t="str">
        <f t="shared" si="190"/>
        <v>YES</v>
      </c>
      <c r="H120" s="96">
        <v>43614</v>
      </c>
      <c r="I120" s="96">
        <v>43614</v>
      </c>
      <c r="J120" s="96">
        <f t="shared" si="756"/>
        <v>43618</v>
      </c>
      <c r="K120" s="35">
        <f t="shared" si="757"/>
        <v>43618</v>
      </c>
      <c r="L120" s="103">
        <v>5</v>
      </c>
      <c r="M120" s="103">
        <v>5</v>
      </c>
      <c r="N120" s="103">
        <v>8</v>
      </c>
      <c r="O120" s="103">
        <v>8</v>
      </c>
      <c r="P120" s="114">
        <f t="shared" ref="P120:P123" si="794">+IF(AND(P$16&gt;=$I120,P$16&lt;=$K120),"",0)</f>
        <v>0</v>
      </c>
      <c r="Q120" s="115">
        <f t="shared" ref="Q120:Q123" si="795">+IF(AND(Q$16&gt;=$I120,Q$16&lt;=$K120),"",0)</f>
        <v>0</v>
      </c>
      <c r="R120" s="115">
        <f t="shared" ref="R120:R123" si="796">+IF(AND(R$16&gt;=$I120,R$16&lt;=$K120),"",0)</f>
        <v>0</v>
      </c>
      <c r="S120" s="115">
        <f t="shared" ref="S120:S123" si="797">+IF(AND(S$16&gt;=$I120,S$16&lt;=$K120),"",0)</f>
        <v>0</v>
      </c>
      <c r="T120" s="115">
        <f t="shared" ref="T120:T123" si="798">+IF(AND(T$16&gt;=$I120,T$16&lt;=$K120),"",0)</f>
        <v>0</v>
      </c>
      <c r="U120" s="115">
        <f t="shared" ref="U120:U123" si="799">+IF(AND(U$16&gt;=$I120,U$16&lt;=$K120),"",0)</f>
        <v>0</v>
      </c>
      <c r="V120" s="116">
        <f t="shared" ref="V120:V123" si="800">+IF(AND(V$16&gt;=$I120,V$16&lt;=$K120),"",0)</f>
        <v>0</v>
      </c>
      <c r="W120" s="114">
        <f t="shared" ref="W120:W123" si="801">+IF(AND(W$16&gt;=$I120,W$16&lt;=$K120),"",0)</f>
        <v>0</v>
      </c>
      <c r="X120" s="117">
        <f t="shared" ref="X120:X123" si="802">+IF(AND(X$16&gt;=$I120,X$16&lt;=$K120),"",0)</f>
        <v>0</v>
      </c>
      <c r="Y120" s="117">
        <f t="shared" ref="Y120:Y123" si="803">+IF(AND(Y$16&gt;=$I120,Y$16&lt;=$K120),"",0)</f>
        <v>0</v>
      </c>
      <c r="Z120" s="117">
        <f t="shared" ref="Z120:Z123" si="804">+IF(AND(Z$16&gt;=$I120,Z$16&lt;=$K120),"",0)</f>
        <v>0</v>
      </c>
      <c r="AA120" s="117">
        <f t="shared" ref="AA120:AA123" si="805">+IF(AND(AA$16&gt;=$I120,AA$16&lt;=$K120),"",0)</f>
        <v>0</v>
      </c>
      <c r="AB120" s="117">
        <f t="shared" ref="AB120:AB123" si="806">+IF(AND(AB$16&gt;=$I120,AB$16&lt;=$K120),"",0)</f>
        <v>0</v>
      </c>
      <c r="AC120" s="118">
        <f t="shared" ref="AC120:AC123" si="807">+IF(AND(AC$16&gt;=$I120,AC$16&lt;=$K120),"",0)</f>
        <v>0</v>
      </c>
      <c r="AD120" s="114">
        <f t="shared" ref="AD120:AD123" si="808">+IF(AND(AD$16&gt;=$I120,AD$16&lt;=$K120),"",0)</f>
        <v>0</v>
      </c>
      <c r="AE120" s="117">
        <f t="shared" ref="AE120:AE123" si="809">+IF(AND(AE$16&gt;=$I120,AE$16&lt;=$K120),"",0)</f>
        <v>0</v>
      </c>
      <c r="AF120" s="117">
        <f t="shared" ref="AF120:AF123" si="810">+IF(AND(AF$16&gt;=$I120,AF$16&lt;=$K120),"",0)</f>
        <v>0</v>
      </c>
      <c r="AG120" s="117">
        <f t="shared" ref="AG120:AG123" si="811">+IF(AND(AG$16&gt;=$I120,AG$16&lt;=$K120),"",0)</f>
        <v>0</v>
      </c>
      <c r="AH120" s="117">
        <f t="shared" ref="AH120:AH123" si="812">+IF(AND(AH$16&gt;=$I120,AH$16&lt;=$K120),"",0)</f>
        <v>0</v>
      </c>
      <c r="AI120" s="117">
        <f t="shared" ref="AI120:AI123" si="813">+IF(AND(AI$16&gt;=$I120,AI$16&lt;=$K120),"",0)</f>
        <v>0</v>
      </c>
      <c r="AJ120" s="118">
        <f t="shared" ref="AJ120:AJ123" si="814">+IF(AND(AJ$16&gt;=$I120,AJ$16&lt;=$K120),"",0)</f>
        <v>0</v>
      </c>
      <c r="AK120" s="114">
        <f t="shared" ref="AK120:AK123" si="815">+IF(AND(AK$16&gt;=$I120,AK$16&lt;=$K120),"",0)</f>
        <v>0</v>
      </c>
      <c r="AL120" s="117">
        <f t="shared" ref="AL120:AL123" si="816">+IF(AND(AL$16&gt;=$I120,AL$16&lt;=$K120),"",0)</f>
        <v>0</v>
      </c>
      <c r="AM120" s="117">
        <f t="shared" ref="AM120:AM123" si="817">+IF(AND(AM$16&gt;=$I120,AM$16&lt;=$K120),"",0)</f>
        <v>0</v>
      </c>
      <c r="AN120" s="117">
        <f t="shared" ref="AN120:AN123" si="818">+IF(AND(AN$16&gt;=$I120,AN$16&lt;=$K120),"",0)</f>
        <v>0</v>
      </c>
      <c r="AO120" s="117">
        <f t="shared" ref="AO120:AO123" si="819">+IF(AND(AO$16&gt;=$I120,AO$16&lt;=$K120),"",0)</f>
        <v>0</v>
      </c>
      <c r="AP120" s="117">
        <f t="shared" ref="AP120:AP123" si="820">+IF(AND(AP$16&gt;=$I120,AP$16&lt;=$K120),"",0)</f>
        <v>0</v>
      </c>
      <c r="AQ120" s="118">
        <f t="shared" ref="AQ120:AQ123" si="821">+IF(AND(AQ$16&gt;=$I120,AQ$16&lt;=$K120),"",0)</f>
        <v>0</v>
      </c>
      <c r="AR120" s="115">
        <f t="shared" ref="AR120:AR123" si="822">+IF(AND(AR$16&gt;=$I120,AR$16&lt;=$K120),"",0)</f>
        <v>0</v>
      </c>
      <c r="AS120" s="115">
        <f t="shared" ref="AS120:AS123" si="823">+IF(AND(AS$16&gt;=$I120,AS$16&lt;=$K120),"",0)</f>
        <v>0</v>
      </c>
      <c r="AT120" s="115">
        <f t="shared" ref="AT120:AT123" si="824">+IF(AND(AT$16&gt;=$I120,AT$16&lt;=$K120),"",0)</f>
        <v>0</v>
      </c>
      <c r="AU120" s="115">
        <f t="shared" ref="AU120:AU123" si="825">+IF(AND(AU$16&gt;=$I120,AU$16&lt;=$K120),"",0)</f>
        <v>0</v>
      </c>
      <c r="AV120" s="115">
        <f t="shared" ref="AV120:AV123" si="826">+IF(AND(AV$16&gt;=$I120,AV$16&lt;=$K120),"",0)</f>
        <v>0</v>
      </c>
      <c r="AW120" s="115">
        <f t="shared" ref="AW120:AW123" si="827">+IF(AND(AW$16&gt;=$I120,AW$16&lt;=$K120),"",0)</f>
        <v>0</v>
      </c>
      <c r="AX120" s="115">
        <f t="shared" ref="AX120:AX123" si="828">+IF(AND(AX$16&gt;=$I120,AX$16&lt;=$K120),"",0)</f>
        <v>0</v>
      </c>
      <c r="AY120" s="40"/>
    </row>
    <row r="121" spans="1:51" s="26" customFormat="1" ht="27.6" customHeight="1" outlineLevel="1" x14ac:dyDescent="0.3">
      <c r="A121" s="13"/>
      <c r="B121" s="13"/>
      <c r="C121" s="13"/>
      <c r="D121" s="69">
        <f t="shared" si="758"/>
        <v>7</v>
      </c>
      <c r="E121" s="70" t="s">
        <v>82</v>
      </c>
      <c r="F121" s="49">
        <v>0</v>
      </c>
      <c r="G121" s="95" t="str">
        <f t="shared" si="190"/>
        <v>YES</v>
      </c>
      <c r="H121" s="96">
        <v>43689</v>
      </c>
      <c r="I121" s="96">
        <v>43689</v>
      </c>
      <c r="J121" s="96">
        <f t="shared" si="756"/>
        <v>43690</v>
      </c>
      <c r="K121" s="35">
        <f t="shared" si="757"/>
        <v>43690</v>
      </c>
      <c r="L121" s="103">
        <v>2</v>
      </c>
      <c r="M121" s="103">
        <v>2</v>
      </c>
      <c r="N121" s="103">
        <v>8</v>
      </c>
      <c r="O121" s="103">
        <v>8</v>
      </c>
      <c r="P121" s="114">
        <f t="shared" si="794"/>
        <v>0</v>
      </c>
      <c r="Q121" s="115">
        <f t="shared" si="795"/>
        <v>0</v>
      </c>
      <c r="R121" s="115">
        <f t="shared" si="796"/>
        <v>0</v>
      </c>
      <c r="S121" s="115">
        <f t="shared" si="797"/>
        <v>0</v>
      </c>
      <c r="T121" s="115">
        <f t="shared" si="798"/>
        <v>0</v>
      </c>
      <c r="U121" s="115">
        <f t="shared" si="799"/>
        <v>0</v>
      </c>
      <c r="V121" s="116">
        <f t="shared" si="800"/>
        <v>0</v>
      </c>
      <c r="W121" s="114">
        <f t="shared" si="801"/>
        <v>0</v>
      </c>
      <c r="X121" s="117">
        <f t="shared" si="802"/>
        <v>0</v>
      </c>
      <c r="Y121" s="117">
        <f t="shared" si="803"/>
        <v>0</v>
      </c>
      <c r="Z121" s="117">
        <f t="shared" si="804"/>
        <v>0</v>
      </c>
      <c r="AA121" s="117" t="str">
        <f t="shared" si="805"/>
        <v/>
      </c>
      <c r="AB121" s="117" t="str">
        <f t="shared" si="806"/>
        <v/>
      </c>
      <c r="AC121" s="118">
        <f t="shared" si="807"/>
        <v>0</v>
      </c>
      <c r="AD121" s="114">
        <f t="shared" si="808"/>
        <v>0</v>
      </c>
      <c r="AE121" s="117">
        <f t="shared" si="809"/>
        <v>0</v>
      </c>
      <c r="AF121" s="117">
        <f t="shared" si="810"/>
        <v>0</v>
      </c>
      <c r="AG121" s="117">
        <f t="shared" si="811"/>
        <v>0</v>
      </c>
      <c r="AH121" s="117">
        <f t="shared" si="812"/>
        <v>0</v>
      </c>
      <c r="AI121" s="117">
        <f t="shared" si="813"/>
        <v>0</v>
      </c>
      <c r="AJ121" s="118">
        <f t="shared" si="814"/>
        <v>0</v>
      </c>
      <c r="AK121" s="114">
        <f t="shared" si="815"/>
        <v>0</v>
      </c>
      <c r="AL121" s="117">
        <f t="shared" si="816"/>
        <v>0</v>
      </c>
      <c r="AM121" s="117">
        <f t="shared" si="817"/>
        <v>0</v>
      </c>
      <c r="AN121" s="117">
        <f t="shared" si="818"/>
        <v>0</v>
      </c>
      <c r="AO121" s="117">
        <f t="shared" si="819"/>
        <v>0</v>
      </c>
      <c r="AP121" s="117">
        <f t="shared" si="820"/>
        <v>0</v>
      </c>
      <c r="AQ121" s="118">
        <f t="shared" si="821"/>
        <v>0</v>
      </c>
      <c r="AR121" s="115">
        <f t="shared" si="822"/>
        <v>0</v>
      </c>
      <c r="AS121" s="115">
        <f t="shared" si="823"/>
        <v>0</v>
      </c>
      <c r="AT121" s="115">
        <f t="shared" si="824"/>
        <v>0</v>
      </c>
      <c r="AU121" s="115">
        <f t="shared" si="825"/>
        <v>0</v>
      </c>
      <c r="AV121" s="115">
        <f t="shared" si="826"/>
        <v>0</v>
      </c>
      <c r="AW121" s="115">
        <f t="shared" si="827"/>
        <v>0</v>
      </c>
      <c r="AX121" s="115">
        <f t="shared" si="828"/>
        <v>0</v>
      </c>
      <c r="AY121" s="40"/>
    </row>
    <row r="122" spans="1:51" s="26" customFormat="1" ht="27.6" customHeight="1" outlineLevel="1" x14ac:dyDescent="0.3">
      <c r="A122" s="13"/>
      <c r="B122" s="13"/>
      <c r="C122" s="13"/>
      <c r="D122" s="69">
        <f t="shared" si="758"/>
        <v>8</v>
      </c>
      <c r="E122" s="70" t="s">
        <v>92</v>
      </c>
      <c r="F122" s="49">
        <v>0</v>
      </c>
      <c r="G122" s="95" t="str">
        <f t="shared" si="190"/>
        <v>YES</v>
      </c>
      <c r="H122" s="96">
        <v>43692</v>
      </c>
      <c r="I122" s="96">
        <v>43692</v>
      </c>
      <c r="J122" s="96">
        <f t="shared" si="756"/>
        <v>43696</v>
      </c>
      <c r="K122" s="35">
        <f t="shared" si="757"/>
        <v>43696</v>
      </c>
      <c r="L122" s="103">
        <v>5</v>
      </c>
      <c r="M122" s="103">
        <v>5</v>
      </c>
      <c r="N122" s="103">
        <v>8</v>
      </c>
      <c r="O122" s="103">
        <v>8</v>
      </c>
      <c r="P122" s="114">
        <f t="shared" si="794"/>
        <v>0</v>
      </c>
      <c r="Q122" s="115">
        <f t="shared" si="795"/>
        <v>0</v>
      </c>
      <c r="R122" s="115">
        <f t="shared" si="796"/>
        <v>0</v>
      </c>
      <c r="S122" s="115">
        <f t="shared" si="797"/>
        <v>0</v>
      </c>
      <c r="T122" s="115">
        <f t="shared" si="798"/>
        <v>0</v>
      </c>
      <c r="U122" s="115">
        <f t="shared" si="799"/>
        <v>0</v>
      </c>
      <c r="V122" s="116">
        <f t="shared" si="800"/>
        <v>0</v>
      </c>
      <c r="W122" s="114">
        <f t="shared" si="801"/>
        <v>0</v>
      </c>
      <c r="X122" s="117">
        <f t="shared" si="802"/>
        <v>0</v>
      </c>
      <c r="Y122" s="117">
        <f t="shared" si="803"/>
        <v>0</v>
      </c>
      <c r="Z122" s="117">
        <f t="shared" si="804"/>
        <v>0</v>
      </c>
      <c r="AA122" s="117">
        <f t="shared" si="805"/>
        <v>0</v>
      </c>
      <c r="AB122" s="117">
        <f t="shared" si="806"/>
        <v>0</v>
      </c>
      <c r="AC122" s="118">
        <f t="shared" si="807"/>
        <v>0</v>
      </c>
      <c r="AD122" s="114" t="str">
        <f t="shared" si="808"/>
        <v/>
      </c>
      <c r="AE122" s="117" t="str">
        <f t="shared" si="809"/>
        <v/>
      </c>
      <c r="AF122" s="117" t="str">
        <f t="shared" si="810"/>
        <v/>
      </c>
      <c r="AG122" s="117" t="str">
        <f t="shared" si="811"/>
        <v/>
      </c>
      <c r="AH122" s="117" t="str">
        <f t="shared" si="812"/>
        <v/>
      </c>
      <c r="AI122" s="117">
        <f t="shared" si="813"/>
        <v>0</v>
      </c>
      <c r="AJ122" s="118">
        <f t="shared" si="814"/>
        <v>0</v>
      </c>
      <c r="AK122" s="114">
        <f t="shared" si="815"/>
        <v>0</v>
      </c>
      <c r="AL122" s="117">
        <f t="shared" si="816"/>
        <v>0</v>
      </c>
      <c r="AM122" s="117">
        <f t="shared" si="817"/>
        <v>0</v>
      </c>
      <c r="AN122" s="117">
        <f t="shared" si="818"/>
        <v>0</v>
      </c>
      <c r="AO122" s="117">
        <f t="shared" si="819"/>
        <v>0</v>
      </c>
      <c r="AP122" s="117">
        <f t="shared" si="820"/>
        <v>0</v>
      </c>
      <c r="AQ122" s="118">
        <f t="shared" si="821"/>
        <v>0</v>
      </c>
      <c r="AR122" s="115">
        <f t="shared" si="822"/>
        <v>0</v>
      </c>
      <c r="AS122" s="115">
        <f t="shared" si="823"/>
        <v>0</v>
      </c>
      <c r="AT122" s="115">
        <f t="shared" si="824"/>
        <v>0</v>
      </c>
      <c r="AU122" s="115">
        <f t="shared" si="825"/>
        <v>0</v>
      </c>
      <c r="AV122" s="115">
        <f t="shared" si="826"/>
        <v>0</v>
      </c>
      <c r="AW122" s="115">
        <f t="shared" si="827"/>
        <v>0</v>
      </c>
      <c r="AX122" s="115">
        <f t="shared" si="828"/>
        <v>0</v>
      </c>
      <c r="AY122" s="40"/>
    </row>
    <row r="123" spans="1:51" s="26" customFormat="1" ht="27.6" customHeight="1" outlineLevel="1" x14ac:dyDescent="0.3">
      <c r="A123" s="13"/>
      <c r="B123" s="13"/>
      <c r="C123" s="13"/>
      <c r="D123" s="69">
        <f t="shared" si="758"/>
        <v>9</v>
      </c>
      <c r="E123" s="70" t="s">
        <v>107</v>
      </c>
      <c r="F123" s="49">
        <v>0</v>
      </c>
      <c r="G123" s="95" t="str">
        <f t="shared" si="190"/>
        <v>YES</v>
      </c>
      <c r="H123" s="96">
        <v>43698</v>
      </c>
      <c r="I123" s="96">
        <v>43698</v>
      </c>
      <c r="J123" s="96">
        <f t="shared" si="756"/>
        <v>43702</v>
      </c>
      <c r="K123" s="35">
        <f t="shared" si="757"/>
        <v>43702</v>
      </c>
      <c r="L123" s="103">
        <v>5</v>
      </c>
      <c r="M123" s="103">
        <v>5</v>
      </c>
      <c r="N123" s="103">
        <v>8</v>
      </c>
      <c r="O123" s="103">
        <v>8</v>
      </c>
      <c r="P123" s="114">
        <f t="shared" si="794"/>
        <v>0</v>
      </c>
      <c r="Q123" s="115">
        <f t="shared" si="795"/>
        <v>0</v>
      </c>
      <c r="R123" s="115">
        <f t="shared" si="796"/>
        <v>0</v>
      </c>
      <c r="S123" s="115">
        <f t="shared" si="797"/>
        <v>0</v>
      </c>
      <c r="T123" s="115">
        <f t="shared" si="798"/>
        <v>0</v>
      </c>
      <c r="U123" s="115">
        <f t="shared" si="799"/>
        <v>0</v>
      </c>
      <c r="V123" s="116">
        <f t="shared" si="800"/>
        <v>0</v>
      </c>
      <c r="W123" s="114">
        <f t="shared" si="801"/>
        <v>0</v>
      </c>
      <c r="X123" s="117">
        <f t="shared" si="802"/>
        <v>0</v>
      </c>
      <c r="Y123" s="117">
        <f t="shared" si="803"/>
        <v>0</v>
      </c>
      <c r="Z123" s="117">
        <f t="shared" si="804"/>
        <v>0</v>
      </c>
      <c r="AA123" s="117">
        <f t="shared" si="805"/>
        <v>0</v>
      </c>
      <c r="AB123" s="117">
        <f t="shared" si="806"/>
        <v>0</v>
      </c>
      <c r="AC123" s="118">
        <f t="shared" si="807"/>
        <v>0</v>
      </c>
      <c r="AD123" s="114">
        <f t="shared" si="808"/>
        <v>0</v>
      </c>
      <c r="AE123" s="117">
        <f t="shared" si="809"/>
        <v>0</v>
      </c>
      <c r="AF123" s="117">
        <f t="shared" si="810"/>
        <v>0</v>
      </c>
      <c r="AG123" s="117">
        <f t="shared" si="811"/>
        <v>0</v>
      </c>
      <c r="AH123" s="117">
        <f t="shared" si="812"/>
        <v>0</v>
      </c>
      <c r="AI123" s="117">
        <f t="shared" si="813"/>
        <v>0</v>
      </c>
      <c r="AJ123" s="118" t="str">
        <f t="shared" si="814"/>
        <v/>
      </c>
      <c r="AK123" s="114" t="str">
        <f t="shared" si="815"/>
        <v/>
      </c>
      <c r="AL123" s="117" t="str">
        <f t="shared" si="816"/>
        <v/>
      </c>
      <c r="AM123" s="117" t="str">
        <f t="shared" si="817"/>
        <v/>
      </c>
      <c r="AN123" s="117" t="str">
        <f t="shared" si="818"/>
        <v/>
      </c>
      <c r="AO123" s="117">
        <f t="shared" si="819"/>
        <v>0</v>
      </c>
      <c r="AP123" s="117">
        <f t="shared" si="820"/>
        <v>0</v>
      </c>
      <c r="AQ123" s="118">
        <f t="shared" si="821"/>
        <v>0</v>
      </c>
      <c r="AR123" s="115">
        <f t="shared" si="822"/>
        <v>0</v>
      </c>
      <c r="AS123" s="115">
        <f t="shared" si="823"/>
        <v>0</v>
      </c>
      <c r="AT123" s="115">
        <f t="shared" si="824"/>
        <v>0</v>
      </c>
      <c r="AU123" s="115">
        <f t="shared" si="825"/>
        <v>0</v>
      </c>
      <c r="AV123" s="115">
        <f t="shared" si="826"/>
        <v>0</v>
      </c>
      <c r="AW123" s="115">
        <f t="shared" si="827"/>
        <v>0</v>
      </c>
      <c r="AX123" s="115">
        <f t="shared" si="828"/>
        <v>0</v>
      </c>
      <c r="AY123" s="40"/>
    </row>
    <row r="124" spans="1:51" s="26" customFormat="1" ht="27.6" customHeight="1" outlineLevel="1" x14ac:dyDescent="0.3">
      <c r="A124" s="13"/>
      <c r="B124" s="13"/>
      <c r="C124" s="13"/>
      <c r="D124" s="69">
        <f t="shared" si="758"/>
        <v>10</v>
      </c>
      <c r="E124" s="70" t="s">
        <v>83</v>
      </c>
      <c r="F124" s="49">
        <v>0</v>
      </c>
      <c r="G124" s="95" t="str">
        <f t="shared" si="190"/>
        <v>YES</v>
      </c>
      <c r="H124" s="96">
        <v>43692</v>
      </c>
      <c r="I124" s="96">
        <v>43692</v>
      </c>
      <c r="J124" s="96">
        <f t="shared" si="756"/>
        <v>43692</v>
      </c>
      <c r="K124" s="35">
        <f t="shared" si="757"/>
        <v>43692</v>
      </c>
      <c r="L124" s="103">
        <v>1</v>
      </c>
      <c r="M124" s="103">
        <v>1</v>
      </c>
      <c r="N124" s="103">
        <v>2</v>
      </c>
      <c r="O124" s="103">
        <v>2</v>
      </c>
      <c r="P124" s="114">
        <f t="shared" ref="P124:P127" si="829">+IF(AND(P$16&gt;=$I124,P$16&lt;=$K124),"",0)</f>
        <v>0</v>
      </c>
      <c r="Q124" s="115">
        <f t="shared" ref="Q124:Q127" si="830">+IF(AND(Q$16&gt;=$I124,Q$16&lt;=$K124),"",0)</f>
        <v>0</v>
      </c>
      <c r="R124" s="115">
        <f t="shared" ref="R124:R127" si="831">+IF(AND(R$16&gt;=$I124,R$16&lt;=$K124),"",0)</f>
        <v>0</v>
      </c>
      <c r="S124" s="115">
        <f t="shared" ref="S124:S127" si="832">+IF(AND(S$16&gt;=$I124,S$16&lt;=$K124),"",0)</f>
        <v>0</v>
      </c>
      <c r="T124" s="115">
        <f t="shared" ref="T124:T127" si="833">+IF(AND(T$16&gt;=$I124,T$16&lt;=$K124),"",0)</f>
        <v>0</v>
      </c>
      <c r="U124" s="115">
        <f t="shared" ref="U124:U127" si="834">+IF(AND(U$16&gt;=$I124,U$16&lt;=$K124),"",0)</f>
        <v>0</v>
      </c>
      <c r="V124" s="116">
        <f t="shared" ref="V124:V127" si="835">+IF(AND(V$16&gt;=$I124,V$16&lt;=$K124),"",0)</f>
        <v>0</v>
      </c>
      <c r="W124" s="114">
        <f t="shared" ref="W124:W127" si="836">+IF(AND(W$16&gt;=$I124,W$16&lt;=$K124),"",0)</f>
        <v>0</v>
      </c>
      <c r="X124" s="117">
        <f t="shared" ref="X124:X127" si="837">+IF(AND(X$16&gt;=$I124,X$16&lt;=$K124),"",0)</f>
        <v>0</v>
      </c>
      <c r="Y124" s="117">
        <f t="shared" ref="Y124:Y127" si="838">+IF(AND(Y$16&gt;=$I124,Y$16&lt;=$K124),"",0)</f>
        <v>0</v>
      </c>
      <c r="Z124" s="117">
        <f t="shared" ref="Z124:Z127" si="839">+IF(AND(Z$16&gt;=$I124,Z$16&lt;=$K124),"",0)</f>
        <v>0</v>
      </c>
      <c r="AA124" s="117">
        <f t="shared" ref="AA124:AA127" si="840">+IF(AND(AA$16&gt;=$I124,AA$16&lt;=$K124),"",0)</f>
        <v>0</v>
      </c>
      <c r="AB124" s="117">
        <f t="shared" ref="AB124:AB127" si="841">+IF(AND(AB$16&gt;=$I124,AB$16&lt;=$K124),"",0)</f>
        <v>0</v>
      </c>
      <c r="AC124" s="118">
        <f t="shared" ref="AC124:AC127" si="842">+IF(AND(AC$16&gt;=$I124,AC$16&lt;=$K124),"",0)</f>
        <v>0</v>
      </c>
      <c r="AD124" s="114" t="str">
        <f t="shared" ref="AD124:AD127" si="843">+IF(AND(AD$16&gt;=$I124,AD$16&lt;=$K124),"",0)</f>
        <v/>
      </c>
      <c r="AE124" s="117">
        <f t="shared" ref="AE124:AE127" si="844">+IF(AND(AE$16&gt;=$I124,AE$16&lt;=$K124),"",0)</f>
        <v>0</v>
      </c>
      <c r="AF124" s="117">
        <f t="shared" ref="AF124:AF127" si="845">+IF(AND(AF$16&gt;=$I124,AF$16&lt;=$K124),"",0)</f>
        <v>0</v>
      </c>
      <c r="AG124" s="117">
        <f t="shared" ref="AG124:AG127" si="846">+IF(AND(AG$16&gt;=$I124,AG$16&lt;=$K124),"",0)</f>
        <v>0</v>
      </c>
      <c r="AH124" s="117">
        <f t="shared" ref="AH124:AH127" si="847">+IF(AND(AH$16&gt;=$I124,AH$16&lt;=$K124),"",0)</f>
        <v>0</v>
      </c>
      <c r="AI124" s="117">
        <f t="shared" ref="AI124:AI127" si="848">+IF(AND(AI$16&gt;=$I124,AI$16&lt;=$K124),"",0)</f>
        <v>0</v>
      </c>
      <c r="AJ124" s="118">
        <f t="shared" ref="AJ124:AJ127" si="849">+IF(AND(AJ$16&gt;=$I124,AJ$16&lt;=$K124),"",0)</f>
        <v>0</v>
      </c>
      <c r="AK124" s="114">
        <f t="shared" ref="AK124:AK127" si="850">+IF(AND(AK$16&gt;=$I124,AK$16&lt;=$K124),"",0)</f>
        <v>0</v>
      </c>
      <c r="AL124" s="117">
        <f t="shared" ref="AL124:AL127" si="851">+IF(AND(AL$16&gt;=$I124,AL$16&lt;=$K124),"",0)</f>
        <v>0</v>
      </c>
      <c r="AM124" s="117">
        <f t="shared" ref="AM124:AM127" si="852">+IF(AND(AM$16&gt;=$I124,AM$16&lt;=$K124),"",0)</f>
        <v>0</v>
      </c>
      <c r="AN124" s="117">
        <f t="shared" ref="AN124:AN127" si="853">+IF(AND(AN$16&gt;=$I124,AN$16&lt;=$K124),"",0)</f>
        <v>0</v>
      </c>
      <c r="AO124" s="117">
        <f t="shared" ref="AO124:AO127" si="854">+IF(AND(AO$16&gt;=$I124,AO$16&lt;=$K124),"",0)</f>
        <v>0</v>
      </c>
      <c r="AP124" s="117">
        <f t="shared" ref="AP124:AP127" si="855">+IF(AND(AP$16&gt;=$I124,AP$16&lt;=$K124),"",0)</f>
        <v>0</v>
      </c>
      <c r="AQ124" s="118">
        <f t="shared" ref="AQ124:AQ127" si="856">+IF(AND(AQ$16&gt;=$I124,AQ$16&lt;=$K124),"",0)</f>
        <v>0</v>
      </c>
      <c r="AR124" s="115">
        <f t="shared" ref="AR124:AR127" si="857">+IF(AND(AR$16&gt;=$I124,AR$16&lt;=$K124),"",0)</f>
        <v>0</v>
      </c>
      <c r="AS124" s="115">
        <f t="shared" ref="AS124:AS127" si="858">+IF(AND(AS$16&gt;=$I124,AS$16&lt;=$K124),"",0)</f>
        <v>0</v>
      </c>
      <c r="AT124" s="115">
        <f t="shared" ref="AT124:AT127" si="859">+IF(AND(AT$16&gt;=$I124,AT$16&lt;=$K124),"",0)</f>
        <v>0</v>
      </c>
      <c r="AU124" s="115">
        <f t="shared" ref="AU124:AU127" si="860">+IF(AND(AU$16&gt;=$I124,AU$16&lt;=$K124),"",0)</f>
        <v>0</v>
      </c>
      <c r="AV124" s="115">
        <f t="shared" ref="AV124:AV127" si="861">+IF(AND(AV$16&gt;=$I124,AV$16&lt;=$K124),"",0)</f>
        <v>0</v>
      </c>
      <c r="AW124" s="115">
        <f t="shared" ref="AW124:AW127" si="862">+IF(AND(AW$16&gt;=$I124,AW$16&lt;=$K124),"",0)</f>
        <v>0</v>
      </c>
      <c r="AX124" s="115">
        <f t="shared" ref="AX124:AX127" si="863">+IF(AND(AX$16&gt;=$I124,AX$16&lt;=$K124),"",0)</f>
        <v>0</v>
      </c>
      <c r="AY124" s="40"/>
    </row>
    <row r="125" spans="1:51" s="26" customFormat="1" ht="27.6" customHeight="1" outlineLevel="1" x14ac:dyDescent="0.3">
      <c r="A125" s="13"/>
      <c r="B125" s="13"/>
      <c r="C125" s="13"/>
      <c r="D125" s="69">
        <f t="shared" si="758"/>
        <v>11</v>
      </c>
      <c r="E125" s="70" t="s">
        <v>93</v>
      </c>
      <c r="F125" s="49">
        <v>0</v>
      </c>
      <c r="G125" s="95" t="str">
        <f t="shared" si="190"/>
        <v>YES</v>
      </c>
      <c r="H125" s="96">
        <v>43698</v>
      </c>
      <c r="I125" s="96">
        <v>43698</v>
      </c>
      <c r="J125" s="96">
        <f t="shared" si="756"/>
        <v>43698</v>
      </c>
      <c r="K125" s="35">
        <f t="shared" si="757"/>
        <v>43698</v>
      </c>
      <c r="L125" s="103">
        <v>1</v>
      </c>
      <c r="M125" s="103">
        <v>1</v>
      </c>
      <c r="N125" s="103">
        <v>2</v>
      </c>
      <c r="O125" s="103">
        <v>2</v>
      </c>
      <c r="P125" s="114">
        <f t="shared" si="829"/>
        <v>0</v>
      </c>
      <c r="Q125" s="115">
        <f t="shared" si="830"/>
        <v>0</v>
      </c>
      <c r="R125" s="115">
        <f t="shared" si="831"/>
        <v>0</v>
      </c>
      <c r="S125" s="115">
        <f t="shared" si="832"/>
        <v>0</v>
      </c>
      <c r="T125" s="115">
        <f t="shared" si="833"/>
        <v>0</v>
      </c>
      <c r="U125" s="115">
        <f t="shared" si="834"/>
        <v>0</v>
      </c>
      <c r="V125" s="116">
        <f t="shared" si="835"/>
        <v>0</v>
      </c>
      <c r="W125" s="114">
        <f t="shared" si="836"/>
        <v>0</v>
      </c>
      <c r="X125" s="117">
        <f t="shared" si="837"/>
        <v>0</v>
      </c>
      <c r="Y125" s="117">
        <f t="shared" si="838"/>
        <v>0</v>
      </c>
      <c r="Z125" s="117">
        <f t="shared" si="839"/>
        <v>0</v>
      </c>
      <c r="AA125" s="117">
        <f t="shared" si="840"/>
        <v>0</v>
      </c>
      <c r="AB125" s="117">
        <f t="shared" si="841"/>
        <v>0</v>
      </c>
      <c r="AC125" s="118">
        <f t="shared" si="842"/>
        <v>0</v>
      </c>
      <c r="AD125" s="114">
        <f t="shared" si="843"/>
        <v>0</v>
      </c>
      <c r="AE125" s="117">
        <f t="shared" si="844"/>
        <v>0</v>
      </c>
      <c r="AF125" s="117">
        <f t="shared" si="845"/>
        <v>0</v>
      </c>
      <c r="AG125" s="117">
        <f t="shared" si="846"/>
        <v>0</v>
      </c>
      <c r="AH125" s="117">
        <f t="shared" si="847"/>
        <v>0</v>
      </c>
      <c r="AI125" s="117">
        <f t="shared" si="848"/>
        <v>0</v>
      </c>
      <c r="AJ125" s="118" t="str">
        <f t="shared" si="849"/>
        <v/>
      </c>
      <c r="AK125" s="114">
        <f t="shared" si="850"/>
        <v>0</v>
      </c>
      <c r="AL125" s="117">
        <f t="shared" si="851"/>
        <v>0</v>
      </c>
      <c r="AM125" s="117">
        <f t="shared" si="852"/>
        <v>0</v>
      </c>
      <c r="AN125" s="117">
        <f t="shared" si="853"/>
        <v>0</v>
      </c>
      <c r="AO125" s="117">
        <f t="shared" si="854"/>
        <v>0</v>
      </c>
      <c r="AP125" s="117">
        <f t="shared" si="855"/>
        <v>0</v>
      </c>
      <c r="AQ125" s="118">
        <f t="shared" si="856"/>
        <v>0</v>
      </c>
      <c r="AR125" s="115">
        <f t="shared" si="857"/>
        <v>0</v>
      </c>
      <c r="AS125" s="115">
        <f t="shared" si="858"/>
        <v>0</v>
      </c>
      <c r="AT125" s="115">
        <f t="shared" si="859"/>
        <v>0</v>
      </c>
      <c r="AU125" s="115">
        <f t="shared" si="860"/>
        <v>0</v>
      </c>
      <c r="AV125" s="115">
        <f t="shared" si="861"/>
        <v>0</v>
      </c>
      <c r="AW125" s="115">
        <f t="shared" si="862"/>
        <v>0</v>
      </c>
      <c r="AX125" s="115">
        <f t="shared" si="863"/>
        <v>0</v>
      </c>
      <c r="AY125" s="40"/>
    </row>
    <row r="126" spans="1:51" s="26" customFormat="1" ht="27.6" customHeight="1" outlineLevel="1" x14ac:dyDescent="0.3">
      <c r="A126" s="13"/>
      <c r="B126" s="13"/>
      <c r="C126" s="13"/>
      <c r="D126" s="69">
        <f t="shared" si="758"/>
        <v>12</v>
      </c>
      <c r="E126" s="70" t="s">
        <v>108</v>
      </c>
      <c r="F126" s="49">
        <v>0</v>
      </c>
      <c r="G126" s="95" t="str">
        <f t="shared" si="190"/>
        <v>YES</v>
      </c>
      <c r="H126" s="96">
        <v>43704</v>
      </c>
      <c r="I126" s="96">
        <v>43704</v>
      </c>
      <c r="J126" s="96">
        <f t="shared" si="756"/>
        <v>43704</v>
      </c>
      <c r="K126" s="35">
        <f t="shared" si="757"/>
        <v>43704</v>
      </c>
      <c r="L126" s="103">
        <v>1</v>
      </c>
      <c r="M126" s="103">
        <v>1</v>
      </c>
      <c r="N126" s="103">
        <v>2</v>
      </c>
      <c r="O126" s="103">
        <v>2</v>
      </c>
      <c r="P126" s="114">
        <f t="shared" si="829"/>
        <v>0</v>
      </c>
      <c r="Q126" s="115">
        <f t="shared" si="830"/>
        <v>0</v>
      </c>
      <c r="R126" s="115">
        <f t="shared" si="831"/>
        <v>0</v>
      </c>
      <c r="S126" s="115">
        <f t="shared" si="832"/>
        <v>0</v>
      </c>
      <c r="T126" s="115">
        <f t="shared" si="833"/>
        <v>0</v>
      </c>
      <c r="U126" s="115">
        <f t="shared" si="834"/>
        <v>0</v>
      </c>
      <c r="V126" s="116">
        <f t="shared" si="835"/>
        <v>0</v>
      </c>
      <c r="W126" s="114">
        <f t="shared" si="836"/>
        <v>0</v>
      </c>
      <c r="X126" s="117">
        <f t="shared" si="837"/>
        <v>0</v>
      </c>
      <c r="Y126" s="117">
        <f t="shared" si="838"/>
        <v>0</v>
      </c>
      <c r="Z126" s="117">
        <f t="shared" si="839"/>
        <v>0</v>
      </c>
      <c r="AA126" s="117">
        <f t="shared" si="840"/>
        <v>0</v>
      </c>
      <c r="AB126" s="117">
        <f t="shared" si="841"/>
        <v>0</v>
      </c>
      <c r="AC126" s="118">
        <f t="shared" si="842"/>
        <v>0</v>
      </c>
      <c r="AD126" s="114">
        <f t="shared" si="843"/>
        <v>0</v>
      </c>
      <c r="AE126" s="117">
        <f t="shared" si="844"/>
        <v>0</v>
      </c>
      <c r="AF126" s="117">
        <f t="shared" si="845"/>
        <v>0</v>
      </c>
      <c r="AG126" s="117">
        <f t="shared" si="846"/>
        <v>0</v>
      </c>
      <c r="AH126" s="117">
        <f t="shared" si="847"/>
        <v>0</v>
      </c>
      <c r="AI126" s="117">
        <f t="shared" si="848"/>
        <v>0</v>
      </c>
      <c r="AJ126" s="118">
        <f t="shared" si="849"/>
        <v>0</v>
      </c>
      <c r="AK126" s="114">
        <f t="shared" si="850"/>
        <v>0</v>
      </c>
      <c r="AL126" s="117">
        <f t="shared" si="851"/>
        <v>0</v>
      </c>
      <c r="AM126" s="117">
        <f t="shared" si="852"/>
        <v>0</v>
      </c>
      <c r="AN126" s="117">
        <f t="shared" si="853"/>
        <v>0</v>
      </c>
      <c r="AO126" s="117">
        <f t="shared" si="854"/>
        <v>0</v>
      </c>
      <c r="AP126" s="117" t="str">
        <f t="shared" si="855"/>
        <v/>
      </c>
      <c r="AQ126" s="118">
        <f t="shared" si="856"/>
        <v>0</v>
      </c>
      <c r="AR126" s="115">
        <f t="shared" si="857"/>
        <v>0</v>
      </c>
      <c r="AS126" s="115">
        <f t="shared" si="858"/>
        <v>0</v>
      </c>
      <c r="AT126" s="115">
        <f t="shared" si="859"/>
        <v>0</v>
      </c>
      <c r="AU126" s="115">
        <f t="shared" si="860"/>
        <v>0</v>
      </c>
      <c r="AV126" s="115">
        <f t="shared" si="861"/>
        <v>0</v>
      </c>
      <c r="AW126" s="115">
        <f t="shared" si="862"/>
        <v>0</v>
      </c>
      <c r="AX126" s="115">
        <f t="shared" si="863"/>
        <v>0</v>
      </c>
      <c r="AY126" s="40"/>
    </row>
    <row r="127" spans="1:51" s="26" customFormat="1" ht="27.6" customHeight="1" outlineLevel="1" x14ac:dyDescent="0.3">
      <c r="A127" s="13"/>
      <c r="B127" s="13"/>
      <c r="C127" s="13"/>
      <c r="D127" s="69">
        <f t="shared" si="758"/>
        <v>13</v>
      </c>
      <c r="E127" s="70" t="s">
        <v>84</v>
      </c>
      <c r="F127" s="49">
        <v>0</v>
      </c>
      <c r="G127" s="95" t="str">
        <f t="shared" si="190"/>
        <v>YES</v>
      </c>
      <c r="H127" s="96">
        <v>43608</v>
      </c>
      <c r="I127" s="96">
        <v>43608</v>
      </c>
      <c r="J127" s="96">
        <f t="shared" si="756"/>
        <v>43608</v>
      </c>
      <c r="K127" s="35">
        <f t="shared" si="757"/>
        <v>43608</v>
      </c>
      <c r="L127" s="103">
        <v>1</v>
      </c>
      <c r="M127" s="103">
        <v>1</v>
      </c>
      <c r="N127" s="103">
        <v>2</v>
      </c>
      <c r="O127" s="103">
        <v>2</v>
      </c>
      <c r="P127" s="114">
        <f t="shared" si="829"/>
        <v>0</v>
      </c>
      <c r="Q127" s="115">
        <f t="shared" si="830"/>
        <v>0</v>
      </c>
      <c r="R127" s="115">
        <f t="shared" si="831"/>
        <v>0</v>
      </c>
      <c r="S127" s="115">
        <f t="shared" si="832"/>
        <v>0</v>
      </c>
      <c r="T127" s="115">
        <f t="shared" si="833"/>
        <v>0</v>
      </c>
      <c r="U127" s="115">
        <f t="shared" si="834"/>
        <v>0</v>
      </c>
      <c r="V127" s="116">
        <f t="shared" si="835"/>
        <v>0</v>
      </c>
      <c r="W127" s="114">
        <f t="shared" si="836"/>
        <v>0</v>
      </c>
      <c r="X127" s="117">
        <f t="shared" si="837"/>
        <v>0</v>
      </c>
      <c r="Y127" s="117">
        <f t="shared" si="838"/>
        <v>0</v>
      </c>
      <c r="Z127" s="117">
        <f t="shared" si="839"/>
        <v>0</v>
      </c>
      <c r="AA127" s="117">
        <f t="shared" si="840"/>
        <v>0</v>
      </c>
      <c r="AB127" s="117">
        <f t="shared" si="841"/>
        <v>0</v>
      </c>
      <c r="AC127" s="118">
        <f t="shared" si="842"/>
        <v>0</v>
      </c>
      <c r="AD127" s="114">
        <f t="shared" si="843"/>
        <v>0</v>
      </c>
      <c r="AE127" s="117">
        <f t="shared" si="844"/>
        <v>0</v>
      </c>
      <c r="AF127" s="117">
        <f t="shared" si="845"/>
        <v>0</v>
      </c>
      <c r="AG127" s="117">
        <f t="shared" si="846"/>
        <v>0</v>
      </c>
      <c r="AH127" s="117">
        <f t="shared" si="847"/>
        <v>0</v>
      </c>
      <c r="AI127" s="117">
        <f t="shared" si="848"/>
        <v>0</v>
      </c>
      <c r="AJ127" s="118">
        <f t="shared" si="849"/>
        <v>0</v>
      </c>
      <c r="AK127" s="114">
        <f t="shared" si="850"/>
        <v>0</v>
      </c>
      <c r="AL127" s="117">
        <f t="shared" si="851"/>
        <v>0</v>
      </c>
      <c r="AM127" s="117">
        <f t="shared" si="852"/>
        <v>0</v>
      </c>
      <c r="AN127" s="117">
        <f t="shared" si="853"/>
        <v>0</v>
      </c>
      <c r="AO127" s="117">
        <f t="shared" si="854"/>
        <v>0</v>
      </c>
      <c r="AP127" s="117">
        <f t="shared" si="855"/>
        <v>0</v>
      </c>
      <c r="AQ127" s="118">
        <f t="shared" si="856"/>
        <v>0</v>
      </c>
      <c r="AR127" s="115">
        <f t="shared" si="857"/>
        <v>0</v>
      </c>
      <c r="AS127" s="115">
        <f t="shared" si="858"/>
        <v>0</v>
      </c>
      <c r="AT127" s="115">
        <f t="shared" si="859"/>
        <v>0</v>
      </c>
      <c r="AU127" s="115">
        <f t="shared" si="860"/>
        <v>0</v>
      </c>
      <c r="AV127" s="115">
        <f t="shared" si="861"/>
        <v>0</v>
      </c>
      <c r="AW127" s="115">
        <f t="shared" si="862"/>
        <v>0</v>
      </c>
      <c r="AX127" s="115">
        <f t="shared" si="863"/>
        <v>0</v>
      </c>
      <c r="AY127" s="40"/>
    </row>
    <row r="128" spans="1:51" s="26" customFormat="1" ht="27.6" customHeight="1" outlineLevel="1" x14ac:dyDescent="0.3">
      <c r="A128" s="13"/>
      <c r="B128" s="13"/>
      <c r="C128" s="13"/>
      <c r="D128" s="69">
        <f t="shared" si="758"/>
        <v>14</v>
      </c>
      <c r="E128" s="70" t="s">
        <v>94</v>
      </c>
      <c r="F128" s="49">
        <v>0</v>
      </c>
      <c r="G128" s="95" t="str">
        <f t="shared" si="190"/>
        <v>YES</v>
      </c>
      <c r="H128" s="96">
        <v>43614</v>
      </c>
      <c r="I128" s="96">
        <v>43614</v>
      </c>
      <c r="J128" s="96">
        <f t="shared" si="756"/>
        <v>43614</v>
      </c>
      <c r="K128" s="35">
        <f t="shared" si="757"/>
        <v>43614</v>
      </c>
      <c r="L128" s="103">
        <v>1</v>
      </c>
      <c r="M128" s="103">
        <v>1</v>
      </c>
      <c r="N128" s="103">
        <v>2</v>
      </c>
      <c r="O128" s="103">
        <v>2</v>
      </c>
      <c r="P128" s="114">
        <f t="shared" ref="P128:P131" si="864">+IF(AND(P$16&gt;=$I128,P$16&lt;=$K128),"",0)</f>
        <v>0</v>
      </c>
      <c r="Q128" s="115">
        <f t="shared" ref="Q128:Q131" si="865">+IF(AND(Q$16&gt;=$I128,Q$16&lt;=$K128),"",0)</f>
        <v>0</v>
      </c>
      <c r="R128" s="115">
        <f t="shared" ref="R128:R131" si="866">+IF(AND(R$16&gt;=$I128,R$16&lt;=$K128),"",0)</f>
        <v>0</v>
      </c>
      <c r="S128" s="115">
        <f t="shared" ref="S128:S131" si="867">+IF(AND(S$16&gt;=$I128,S$16&lt;=$K128),"",0)</f>
        <v>0</v>
      </c>
      <c r="T128" s="115">
        <f t="shared" ref="T128:T131" si="868">+IF(AND(T$16&gt;=$I128,T$16&lt;=$K128),"",0)</f>
        <v>0</v>
      </c>
      <c r="U128" s="115">
        <f t="shared" ref="U128:U131" si="869">+IF(AND(U$16&gt;=$I128,U$16&lt;=$K128),"",0)</f>
        <v>0</v>
      </c>
      <c r="V128" s="116">
        <f t="shared" ref="V128:V131" si="870">+IF(AND(V$16&gt;=$I128,V$16&lt;=$K128),"",0)</f>
        <v>0</v>
      </c>
      <c r="W128" s="114">
        <f t="shared" ref="W128:W131" si="871">+IF(AND(W$16&gt;=$I128,W$16&lt;=$K128),"",0)</f>
        <v>0</v>
      </c>
      <c r="X128" s="117">
        <f t="shared" ref="X128:X131" si="872">+IF(AND(X$16&gt;=$I128,X$16&lt;=$K128),"",0)</f>
        <v>0</v>
      </c>
      <c r="Y128" s="117">
        <f t="shared" ref="Y128:Y131" si="873">+IF(AND(Y$16&gt;=$I128,Y$16&lt;=$K128),"",0)</f>
        <v>0</v>
      </c>
      <c r="Z128" s="117">
        <f t="shared" ref="Z128:Z131" si="874">+IF(AND(Z$16&gt;=$I128,Z$16&lt;=$K128),"",0)</f>
        <v>0</v>
      </c>
      <c r="AA128" s="117">
        <f t="shared" ref="AA128:AA131" si="875">+IF(AND(AA$16&gt;=$I128,AA$16&lt;=$K128),"",0)</f>
        <v>0</v>
      </c>
      <c r="AB128" s="117">
        <f t="shared" ref="AB128:AB131" si="876">+IF(AND(AB$16&gt;=$I128,AB$16&lt;=$K128),"",0)</f>
        <v>0</v>
      </c>
      <c r="AC128" s="118">
        <f t="shared" ref="AC128:AC131" si="877">+IF(AND(AC$16&gt;=$I128,AC$16&lt;=$K128),"",0)</f>
        <v>0</v>
      </c>
      <c r="AD128" s="114">
        <f t="shared" ref="AD128:AD131" si="878">+IF(AND(AD$16&gt;=$I128,AD$16&lt;=$K128),"",0)</f>
        <v>0</v>
      </c>
      <c r="AE128" s="117">
        <f t="shared" ref="AE128:AE131" si="879">+IF(AND(AE$16&gt;=$I128,AE$16&lt;=$K128),"",0)</f>
        <v>0</v>
      </c>
      <c r="AF128" s="117">
        <f t="shared" ref="AF128:AF131" si="880">+IF(AND(AF$16&gt;=$I128,AF$16&lt;=$K128),"",0)</f>
        <v>0</v>
      </c>
      <c r="AG128" s="117">
        <f t="shared" ref="AG128:AG131" si="881">+IF(AND(AG$16&gt;=$I128,AG$16&lt;=$K128),"",0)</f>
        <v>0</v>
      </c>
      <c r="AH128" s="117">
        <f t="shared" ref="AH128:AH131" si="882">+IF(AND(AH$16&gt;=$I128,AH$16&lt;=$K128),"",0)</f>
        <v>0</v>
      </c>
      <c r="AI128" s="117">
        <f t="shared" ref="AI128:AI131" si="883">+IF(AND(AI$16&gt;=$I128,AI$16&lt;=$K128),"",0)</f>
        <v>0</v>
      </c>
      <c r="AJ128" s="118">
        <f t="shared" ref="AJ128:AJ131" si="884">+IF(AND(AJ$16&gt;=$I128,AJ$16&lt;=$K128),"",0)</f>
        <v>0</v>
      </c>
      <c r="AK128" s="114">
        <f t="shared" ref="AK128:AK131" si="885">+IF(AND(AK$16&gt;=$I128,AK$16&lt;=$K128),"",0)</f>
        <v>0</v>
      </c>
      <c r="AL128" s="117">
        <f t="shared" ref="AL128:AL131" si="886">+IF(AND(AL$16&gt;=$I128,AL$16&lt;=$K128),"",0)</f>
        <v>0</v>
      </c>
      <c r="AM128" s="117">
        <f t="shared" ref="AM128:AM131" si="887">+IF(AND(AM$16&gt;=$I128,AM$16&lt;=$K128),"",0)</f>
        <v>0</v>
      </c>
      <c r="AN128" s="117">
        <f t="shared" ref="AN128:AN131" si="888">+IF(AND(AN$16&gt;=$I128,AN$16&lt;=$K128),"",0)</f>
        <v>0</v>
      </c>
      <c r="AO128" s="117">
        <f t="shared" ref="AO128:AO131" si="889">+IF(AND(AO$16&gt;=$I128,AO$16&lt;=$K128),"",0)</f>
        <v>0</v>
      </c>
      <c r="AP128" s="117">
        <f t="shared" ref="AP128:AP131" si="890">+IF(AND(AP$16&gt;=$I128,AP$16&lt;=$K128),"",0)</f>
        <v>0</v>
      </c>
      <c r="AQ128" s="118">
        <f t="shared" ref="AQ128:AQ131" si="891">+IF(AND(AQ$16&gt;=$I128,AQ$16&lt;=$K128),"",0)</f>
        <v>0</v>
      </c>
      <c r="AR128" s="115">
        <f t="shared" ref="AR128:AR131" si="892">+IF(AND(AR$16&gt;=$I128,AR$16&lt;=$K128),"",0)</f>
        <v>0</v>
      </c>
      <c r="AS128" s="115">
        <f t="shared" ref="AS128:AS131" si="893">+IF(AND(AS$16&gt;=$I128,AS$16&lt;=$K128),"",0)</f>
        <v>0</v>
      </c>
      <c r="AT128" s="115">
        <f t="shared" ref="AT128:AT131" si="894">+IF(AND(AT$16&gt;=$I128,AT$16&lt;=$K128),"",0)</f>
        <v>0</v>
      </c>
      <c r="AU128" s="115">
        <f t="shared" ref="AU128:AU131" si="895">+IF(AND(AU$16&gt;=$I128,AU$16&lt;=$K128),"",0)</f>
        <v>0</v>
      </c>
      <c r="AV128" s="115">
        <f t="shared" ref="AV128:AV131" si="896">+IF(AND(AV$16&gt;=$I128,AV$16&lt;=$K128),"",0)</f>
        <v>0</v>
      </c>
      <c r="AW128" s="115">
        <f t="shared" ref="AW128:AW131" si="897">+IF(AND(AW$16&gt;=$I128,AW$16&lt;=$K128),"",0)</f>
        <v>0</v>
      </c>
      <c r="AX128" s="115">
        <f t="shared" ref="AX128:AX131" si="898">+IF(AND(AX$16&gt;=$I128,AX$16&lt;=$K128),"",0)</f>
        <v>0</v>
      </c>
      <c r="AY128" s="40"/>
    </row>
    <row r="129" spans="1:51" s="26" customFormat="1" ht="27.6" customHeight="1" outlineLevel="1" x14ac:dyDescent="0.3">
      <c r="A129" s="13"/>
      <c r="B129" s="13"/>
      <c r="C129" s="13"/>
      <c r="D129" s="69">
        <f t="shared" si="758"/>
        <v>15</v>
      </c>
      <c r="E129" s="70" t="s">
        <v>109</v>
      </c>
      <c r="F129" s="49">
        <v>0</v>
      </c>
      <c r="G129" s="95" t="str">
        <f t="shared" si="190"/>
        <v>YES</v>
      </c>
      <c r="H129" s="96">
        <v>43620</v>
      </c>
      <c r="I129" s="96">
        <v>43620</v>
      </c>
      <c r="J129" s="96">
        <f t="shared" si="756"/>
        <v>43620</v>
      </c>
      <c r="K129" s="35">
        <f t="shared" si="757"/>
        <v>43620</v>
      </c>
      <c r="L129" s="103">
        <v>1</v>
      </c>
      <c r="M129" s="103">
        <v>1</v>
      </c>
      <c r="N129" s="103">
        <v>2</v>
      </c>
      <c r="O129" s="103">
        <v>2</v>
      </c>
      <c r="P129" s="114">
        <f t="shared" si="864"/>
        <v>0</v>
      </c>
      <c r="Q129" s="115">
        <f t="shared" si="865"/>
        <v>0</v>
      </c>
      <c r="R129" s="115">
        <f t="shared" si="866"/>
        <v>0</v>
      </c>
      <c r="S129" s="115">
        <f t="shared" si="867"/>
        <v>0</v>
      </c>
      <c r="T129" s="115">
        <f t="shared" si="868"/>
        <v>0</v>
      </c>
      <c r="U129" s="115">
        <f t="shared" si="869"/>
        <v>0</v>
      </c>
      <c r="V129" s="116">
        <f t="shared" si="870"/>
        <v>0</v>
      </c>
      <c r="W129" s="114">
        <f t="shared" si="871"/>
        <v>0</v>
      </c>
      <c r="X129" s="117">
        <f t="shared" si="872"/>
        <v>0</v>
      </c>
      <c r="Y129" s="117">
        <f t="shared" si="873"/>
        <v>0</v>
      </c>
      <c r="Z129" s="117">
        <f t="shared" si="874"/>
        <v>0</v>
      </c>
      <c r="AA129" s="117">
        <f t="shared" si="875"/>
        <v>0</v>
      </c>
      <c r="AB129" s="117">
        <f t="shared" si="876"/>
        <v>0</v>
      </c>
      <c r="AC129" s="118">
        <f t="shared" si="877"/>
        <v>0</v>
      </c>
      <c r="AD129" s="114">
        <f t="shared" si="878"/>
        <v>0</v>
      </c>
      <c r="AE129" s="117">
        <f t="shared" si="879"/>
        <v>0</v>
      </c>
      <c r="AF129" s="117">
        <f t="shared" si="880"/>
        <v>0</v>
      </c>
      <c r="AG129" s="117">
        <f t="shared" si="881"/>
        <v>0</v>
      </c>
      <c r="AH129" s="117">
        <f t="shared" si="882"/>
        <v>0</v>
      </c>
      <c r="AI129" s="117">
        <f t="shared" si="883"/>
        <v>0</v>
      </c>
      <c r="AJ129" s="118">
        <f t="shared" si="884"/>
        <v>0</v>
      </c>
      <c r="AK129" s="114">
        <f t="shared" si="885"/>
        <v>0</v>
      </c>
      <c r="AL129" s="117">
        <f t="shared" si="886"/>
        <v>0</v>
      </c>
      <c r="AM129" s="117">
        <f t="shared" si="887"/>
        <v>0</v>
      </c>
      <c r="AN129" s="117">
        <f t="shared" si="888"/>
        <v>0</v>
      </c>
      <c r="AO129" s="117">
        <f t="shared" si="889"/>
        <v>0</v>
      </c>
      <c r="AP129" s="117">
        <f t="shared" si="890"/>
        <v>0</v>
      </c>
      <c r="AQ129" s="118">
        <f t="shared" si="891"/>
        <v>0</v>
      </c>
      <c r="AR129" s="115">
        <f t="shared" si="892"/>
        <v>0</v>
      </c>
      <c r="AS129" s="115">
        <f t="shared" si="893"/>
        <v>0</v>
      </c>
      <c r="AT129" s="115">
        <f t="shared" si="894"/>
        <v>0</v>
      </c>
      <c r="AU129" s="115">
        <f t="shared" si="895"/>
        <v>0</v>
      </c>
      <c r="AV129" s="115">
        <f t="shared" si="896"/>
        <v>0</v>
      </c>
      <c r="AW129" s="115">
        <f t="shared" si="897"/>
        <v>0</v>
      </c>
      <c r="AX129" s="115">
        <f t="shared" si="898"/>
        <v>0</v>
      </c>
      <c r="AY129" s="40"/>
    </row>
    <row r="130" spans="1:51" s="26" customFormat="1" ht="27.6" customHeight="1" outlineLevel="1" x14ac:dyDescent="0.3">
      <c r="A130" s="13"/>
      <c r="B130" s="13"/>
      <c r="C130" s="13"/>
      <c r="D130" s="69">
        <f t="shared" si="758"/>
        <v>16</v>
      </c>
      <c r="E130" s="70" t="s">
        <v>85</v>
      </c>
      <c r="F130" s="49">
        <v>0</v>
      </c>
      <c r="G130" s="95" t="str">
        <f t="shared" si="190"/>
        <v>YES</v>
      </c>
      <c r="H130" s="96">
        <v>43704</v>
      </c>
      <c r="I130" s="96">
        <v>43704</v>
      </c>
      <c r="J130" s="96">
        <f t="shared" si="756"/>
        <v>43705</v>
      </c>
      <c r="K130" s="35">
        <f t="shared" si="757"/>
        <v>43705</v>
      </c>
      <c r="L130" s="103">
        <v>2</v>
      </c>
      <c r="M130" s="103">
        <v>2</v>
      </c>
      <c r="N130" s="103">
        <v>2</v>
      </c>
      <c r="O130" s="103">
        <v>2</v>
      </c>
      <c r="P130" s="114">
        <f t="shared" si="864"/>
        <v>0</v>
      </c>
      <c r="Q130" s="115">
        <f t="shared" si="865"/>
        <v>0</v>
      </c>
      <c r="R130" s="115">
        <f t="shared" si="866"/>
        <v>0</v>
      </c>
      <c r="S130" s="115">
        <f t="shared" si="867"/>
        <v>0</v>
      </c>
      <c r="T130" s="115">
        <f t="shared" si="868"/>
        <v>0</v>
      </c>
      <c r="U130" s="115">
        <f t="shared" si="869"/>
        <v>0</v>
      </c>
      <c r="V130" s="116">
        <f t="shared" si="870"/>
        <v>0</v>
      </c>
      <c r="W130" s="114">
        <f t="shared" si="871"/>
        <v>0</v>
      </c>
      <c r="X130" s="117">
        <f t="shared" si="872"/>
        <v>0</v>
      </c>
      <c r="Y130" s="117">
        <f t="shared" si="873"/>
        <v>0</v>
      </c>
      <c r="Z130" s="117">
        <f t="shared" si="874"/>
        <v>0</v>
      </c>
      <c r="AA130" s="117">
        <f t="shared" si="875"/>
        <v>0</v>
      </c>
      <c r="AB130" s="117">
        <f t="shared" si="876"/>
        <v>0</v>
      </c>
      <c r="AC130" s="118">
        <f t="shared" si="877"/>
        <v>0</v>
      </c>
      <c r="AD130" s="114">
        <f t="shared" si="878"/>
        <v>0</v>
      </c>
      <c r="AE130" s="117">
        <f t="shared" si="879"/>
        <v>0</v>
      </c>
      <c r="AF130" s="117">
        <f t="shared" si="880"/>
        <v>0</v>
      </c>
      <c r="AG130" s="117">
        <f t="shared" si="881"/>
        <v>0</v>
      </c>
      <c r="AH130" s="117">
        <f t="shared" si="882"/>
        <v>0</v>
      </c>
      <c r="AI130" s="117">
        <f t="shared" si="883"/>
        <v>0</v>
      </c>
      <c r="AJ130" s="118">
        <f t="shared" si="884"/>
        <v>0</v>
      </c>
      <c r="AK130" s="114">
        <f t="shared" si="885"/>
        <v>0</v>
      </c>
      <c r="AL130" s="117">
        <f t="shared" si="886"/>
        <v>0</v>
      </c>
      <c r="AM130" s="117">
        <f t="shared" si="887"/>
        <v>0</v>
      </c>
      <c r="AN130" s="117">
        <f t="shared" si="888"/>
        <v>0</v>
      </c>
      <c r="AO130" s="117">
        <f t="shared" si="889"/>
        <v>0</v>
      </c>
      <c r="AP130" s="117" t="str">
        <f t="shared" si="890"/>
        <v/>
      </c>
      <c r="AQ130" s="118" t="str">
        <f t="shared" si="891"/>
        <v/>
      </c>
      <c r="AR130" s="115">
        <f t="shared" si="892"/>
        <v>0</v>
      </c>
      <c r="AS130" s="115">
        <f t="shared" si="893"/>
        <v>0</v>
      </c>
      <c r="AT130" s="115">
        <f t="shared" si="894"/>
        <v>0</v>
      </c>
      <c r="AU130" s="115">
        <f t="shared" si="895"/>
        <v>0</v>
      </c>
      <c r="AV130" s="115">
        <f t="shared" si="896"/>
        <v>0</v>
      </c>
      <c r="AW130" s="115">
        <f t="shared" si="897"/>
        <v>0</v>
      </c>
      <c r="AX130" s="115">
        <f t="shared" si="898"/>
        <v>0</v>
      </c>
      <c r="AY130" s="40"/>
    </row>
    <row r="131" spans="1:51" s="26" customFormat="1" ht="27.6" customHeight="1" outlineLevel="1" x14ac:dyDescent="0.3">
      <c r="A131" s="13"/>
      <c r="B131" s="13"/>
      <c r="C131" s="13"/>
      <c r="D131" s="69">
        <f t="shared" si="758"/>
        <v>17</v>
      </c>
      <c r="E131" s="70" t="s">
        <v>95</v>
      </c>
      <c r="F131" s="49">
        <v>0</v>
      </c>
      <c r="G131" s="95" t="str">
        <f t="shared" si="190"/>
        <v>YES</v>
      </c>
      <c r="H131" s="96">
        <v>43704</v>
      </c>
      <c r="I131" s="96">
        <v>43704</v>
      </c>
      <c r="J131" s="96">
        <f t="shared" si="756"/>
        <v>43705</v>
      </c>
      <c r="K131" s="35">
        <f t="shared" si="757"/>
        <v>43705</v>
      </c>
      <c r="L131" s="103">
        <v>2</v>
      </c>
      <c r="M131" s="103">
        <v>2</v>
      </c>
      <c r="N131" s="103">
        <v>2</v>
      </c>
      <c r="O131" s="103">
        <v>2</v>
      </c>
      <c r="P131" s="114">
        <f t="shared" si="864"/>
        <v>0</v>
      </c>
      <c r="Q131" s="115">
        <f t="shared" si="865"/>
        <v>0</v>
      </c>
      <c r="R131" s="115">
        <f t="shared" si="866"/>
        <v>0</v>
      </c>
      <c r="S131" s="115">
        <f t="shared" si="867"/>
        <v>0</v>
      </c>
      <c r="T131" s="115">
        <f t="shared" si="868"/>
        <v>0</v>
      </c>
      <c r="U131" s="115">
        <f t="shared" si="869"/>
        <v>0</v>
      </c>
      <c r="V131" s="116">
        <f t="shared" si="870"/>
        <v>0</v>
      </c>
      <c r="W131" s="114">
        <f t="shared" si="871"/>
        <v>0</v>
      </c>
      <c r="X131" s="117">
        <f t="shared" si="872"/>
        <v>0</v>
      </c>
      <c r="Y131" s="117">
        <f t="shared" si="873"/>
        <v>0</v>
      </c>
      <c r="Z131" s="117">
        <f t="shared" si="874"/>
        <v>0</v>
      </c>
      <c r="AA131" s="117">
        <f t="shared" si="875"/>
        <v>0</v>
      </c>
      <c r="AB131" s="117">
        <f t="shared" si="876"/>
        <v>0</v>
      </c>
      <c r="AC131" s="118">
        <f t="shared" si="877"/>
        <v>0</v>
      </c>
      <c r="AD131" s="114">
        <f t="shared" si="878"/>
        <v>0</v>
      </c>
      <c r="AE131" s="117">
        <f t="shared" si="879"/>
        <v>0</v>
      </c>
      <c r="AF131" s="117">
        <f t="shared" si="880"/>
        <v>0</v>
      </c>
      <c r="AG131" s="117">
        <f t="shared" si="881"/>
        <v>0</v>
      </c>
      <c r="AH131" s="117">
        <f t="shared" si="882"/>
        <v>0</v>
      </c>
      <c r="AI131" s="117">
        <f t="shared" si="883"/>
        <v>0</v>
      </c>
      <c r="AJ131" s="118">
        <f t="shared" si="884"/>
        <v>0</v>
      </c>
      <c r="AK131" s="114">
        <f t="shared" si="885"/>
        <v>0</v>
      </c>
      <c r="AL131" s="117">
        <f t="shared" si="886"/>
        <v>0</v>
      </c>
      <c r="AM131" s="117">
        <f t="shared" si="887"/>
        <v>0</v>
      </c>
      <c r="AN131" s="117">
        <f t="shared" si="888"/>
        <v>0</v>
      </c>
      <c r="AO131" s="117">
        <f t="shared" si="889"/>
        <v>0</v>
      </c>
      <c r="AP131" s="117" t="str">
        <f t="shared" si="890"/>
        <v/>
      </c>
      <c r="AQ131" s="118" t="str">
        <f t="shared" si="891"/>
        <v/>
      </c>
      <c r="AR131" s="115">
        <f t="shared" si="892"/>
        <v>0</v>
      </c>
      <c r="AS131" s="115">
        <f t="shared" si="893"/>
        <v>0</v>
      </c>
      <c r="AT131" s="115">
        <f t="shared" si="894"/>
        <v>0</v>
      </c>
      <c r="AU131" s="115">
        <f t="shared" si="895"/>
        <v>0</v>
      </c>
      <c r="AV131" s="115">
        <f t="shared" si="896"/>
        <v>0</v>
      </c>
      <c r="AW131" s="115">
        <f t="shared" si="897"/>
        <v>0</v>
      </c>
      <c r="AX131" s="115">
        <f t="shared" si="898"/>
        <v>0</v>
      </c>
      <c r="AY131" s="40"/>
    </row>
    <row r="132" spans="1:51" s="26" customFormat="1" ht="27.6" customHeight="1" outlineLevel="1" x14ac:dyDescent="0.3">
      <c r="A132" s="13"/>
      <c r="B132" s="13"/>
      <c r="C132" s="13"/>
      <c r="D132" s="69">
        <f t="shared" si="758"/>
        <v>18</v>
      </c>
      <c r="E132" s="70" t="s">
        <v>110</v>
      </c>
      <c r="F132" s="49">
        <v>0</v>
      </c>
      <c r="G132" s="95" t="str">
        <f t="shared" si="190"/>
        <v>YES</v>
      </c>
      <c r="H132" s="96">
        <v>43707</v>
      </c>
      <c r="I132" s="96">
        <v>43707</v>
      </c>
      <c r="J132" s="96">
        <f t="shared" si="756"/>
        <v>43708</v>
      </c>
      <c r="K132" s="35">
        <f t="shared" si="757"/>
        <v>43708</v>
      </c>
      <c r="L132" s="103">
        <v>2</v>
      </c>
      <c r="M132" s="103">
        <v>2</v>
      </c>
      <c r="N132" s="103">
        <v>2</v>
      </c>
      <c r="O132" s="103">
        <v>2</v>
      </c>
      <c r="P132" s="114">
        <f t="shared" si="1"/>
        <v>0</v>
      </c>
      <c r="Q132" s="115">
        <f t="shared" si="8"/>
        <v>0</v>
      </c>
      <c r="R132" s="115">
        <f t="shared" si="8"/>
        <v>0</v>
      </c>
      <c r="S132" s="115">
        <f t="shared" si="8"/>
        <v>0</v>
      </c>
      <c r="T132" s="115">
        <f t="shared" si="8"/>
        <v>0</v>
      </c>
      <c r="U132" s="115">
        <f t="shared" si="8"/>
        <v>0</v>
      </c>
      <c r="V132" s="116">
        <f t="shared" si="8"/>
        <v>0</v>
      </c>
      <c r="W132" s="114">
        <f t="shared" si="8"/>
        <v>0</v>
      </c>
      <c r="X132" s="117">
        <f t="shared" si="8"/>
        <v>0</v>
      </c>
      <c r="Y132" s="117">
        <f t="shared" si="8"/>
        <v>0</v>
      </c>
      <c r="Z132" s="117">
        <f t="shared" si="8"/>
        <v>0</v>
      </c>
      <c r="AA132" s="117">
        <f t="shared" si="9"/>
        <v>0</v>
      </c>
      <c r="AB132" s="117">
        <f t="shared" si="9"/>
        <v>0</v>
      </c>
      <c r="AC132" s="118">
        <f t="shared" si="9"/>
        <v>0</v>
      </c>
      <c r="AD132" s="114">
        <f t="shared" si="9"/>
        <v>0</v>
      </c>
      <c r="AE132" s="117">
        <f t="shared" si="9"/>
        <v>0</v>
      </c>
      <c r="AF132" s="117">
        <f t="shared" si="9"/>
        <v>0</v>
      </c>
      <c r="AG132" s="117">
        <f t="shared" si="9"/>
        <v>0</v>
      </c>
      <c r="AH132" s="117">
        <f t="shared" si="9"/>
        <v>0</v>
      </c>
      <c r="AI132" s="117">
        <f t="shared" si="9"/>
        <v>0</v>
      </c>
      <c r="AJ132" s="118">
        <f t="shared" si="9"/>
        <v>0</v>
      </c>
      <c r="AK132" s="114">
        <f t="shared" si="10"/>
        <v>0</v>
      </c>
      <c r="AL132" s="117">
        <f t="shared" si="10"/>
        <v>0</v>
      </c>
      <c r="AM132" s="117">
        <f t="shared" si="10"/>
        <v>0</v>
      </c>
      <c r="AN132" s="117">
        <f t="shared" si="10"/>
        <v>0</v>
      </c>
      <c r="AO132" s="117">
        <f t="shared" si="10"/>
        <v>0</v>
      </c>
      <c r="AP132" s="117">
        <f t="shared" si="10"/>
        <v>0</v>
      </c>
      <c r="AQ132" s="118">
        <f t="shared" si="10"/>
        <v>0</v>
      </c>
      <c r="AR132" s="115">
        <f t="shared" si="10"/>
        <v>0</v>
      </c>
      <c r="AS132" s="115" t="str">
        <f t="shared" si="10"/>
        <v/>
      </c>
      <c r="AT132" s="115" t="str">
        <f t="shared" si="10"/>
        <v/>
      </c>
      <c r="AU132" s="115">
        <f t="shared" si="10"/>
        <v>0</v>
      </c>
      <c r="AV132" s="115">
        <f t="shared" si="10"/>
        <v>0</v>
      </c>
      <c r="AW132" s="115">
        <f t="shared" si="10"/>
        <v>0</v>
      </c>
      <c r="AX132" s="115">
        <f t="shared" si="10"/>
        <v>0</v>
      </c>
      <c r="AY132" s="40"/>
    </row>
    <row r="133" spans="1:51" s="26" customFormat="1" ht="27.6" customHeight="1" outlineLevel="1" x14ac:dyDescent="0.3">
      <c r="A133" s="13"/>
      <c r="B133" s="13"/>
      <c r="C133" s="13"/>
      <c r="D133" s="69">
        <f t="shared" si="758"/>
        <v>19</v>
      </c>
      <c r="E133" s="70" t="s">
        <v>86</v>
      </c>
      <c r="F133" s="49">
        <v>0</v>
      </c>
      <c r="G133" s="95" t="str">
        <f t="shared" si="190"/>
        <v>YES</v>
      </c>
      <c r="H133" s="96">
        <v>43704</v>
      </c>
      <c r="I133" s="96">
        <v>43704</v>
      </c>
      <c r="J133" s="96">
        <f t="shared" si="191"/>
        <v>43705</v>
      </c>
      <c r="K133" s="35">
        <f t="shared" si="192"/>
        <v>43704</v>
      </c>
      <c r="L133" s="103">
        <v>2</v>
      </c>
      <c r="M133" s="103">
        <v>1</v>
      </c>
      <c r="N133" s="103">
        <v>6</v>
      </c>
      <c r="O133" s="103">
        <v>6</v>
      </c>
      <c r="P133" s="114">
        <f t="shared" si="1"/>
        <v>0</v>
      </c>
      <c r="Q133" s="115">
        <f t="shared" si="8"/>
        <v>0</v>
      </c>
      <c r="R133" s="115">
        <f t="shared" si="8"/>
        <v>0</v>
      </c>
      <c r="S133" s="115">
        <f t="shared" si="8"/>
        <v>0</v>
      </c>
      <c r="T133" s="115">
        <f t="shared" si="8"/>
        <v>0</v>
      </c>
      <c r="U133" s="115">
        <f t="shared" si="8"/>
        <v>0</v>
      </c>
      <c r="V133" s="116">
        <f t="shared" si="8"/>
        <v>0</v>
      </c>
      <c r="W133" s="114">
        <f t="shared" si="8"/>
        <v>0</v>
      </c>
      <c r="X133" s="117">
        <f t="shared" si="8"/>
        <v>0</v>
      </c>
      <c r="Y133" s="117">
        <f t="shared" si="8"/>
        <v>0</v>
      </c>
      <c r="Z133" s="117">
        <f t="shared" si="8"/>
        <v>0</v>
      </c>
      <c r="AA133" s="117">
        <f t="shared" si="9"/>
        <v>0</v>
      </c>
      <c r="AB133" s="117">
        <f t="shared" si="9"/>
        <v>0</v>
      </c>
      <c r="AC133" s="118">
        <f t="shared" si="9"/>
        <v>0</v>
      </c>
      <c r="AD133" s="114">
        <f t="shared" si="9"/>
        <v>0</v>
      </c>
      <c r="AE133" s="117">
        <f t="shared" si="9"/>
        <v>0</v>
      </c>
      <c r="AF133" s="117">
        <f t="shared" si="9"/>
        <v>0</v>
      </c>
      <c r="AG133" s="117">
        <f t="shared" si="9"/>
        <v>0</v>
      </c>
      <c r="AH133" s="117">
        <f t="shared" si="9"/>
        <v>0</v>
      </c>
      <c r="AI133" s="117">
        <f t="shared" si="9"/>
        <v>0</v>
      </c>
      <c r="AJ133" s="118">
        <f t="shared" si="9"/>
        <v>0</v>
      </c>
      <c r="AK133" s="114">
        <f t="shared" si="10"/>
        <v>0</v>
      </c>
      <c r="AL133" s="117">
        <f t="shared" si="10"/>
        <v>0</v>
      </c>
      <c r="AM133" s="117">
        <f t="shared" si="10"/>
        <v>0</v>
      </c>
      <c r="AN133" s="117">
        <f t="shared" si="10"/>
        <v>0</v>
      </c>
      <c r="AO133" s="117">
        <f t="shared" si="10"/>
        <v>0</v>
      </c>
      <c r="AP133" s="117" t="str">
        <f t="shared" si="10"/>
        <v/>
      </c>
      <c r="AQ133" s="118">
        <f t="shared" si="10"/>
        <v>0</v>
      </c>
      <c r="AR133" s="115">
        <f t="shared" si="10"/>
        <v>0</v>
      </c>
      <c r="AS133" s="115">
        <f t="shared" si="10"/>
        <v>0</v>
      </c>
      <c r="AT133" s="115">
        <f t="shared" si="10"/>
        <v>0</v>
      </c>
      <c r="AU133" s="115">
        <f t="shared" si="10"/>
        <v>0</v>
      </c>
      <c r="AV133" s="115">
        <f t="shared" si="10"/>
        <v>0</v>
      </c>
      <c r="AW133" s="115">
        <f t="shared" si="10"/>
        <v>0</v>
      </c>
      <c r="AX133" s="115">
        <f t="shared" si="10"/>
        <v>0</v>
      </c>
      <c r="AY133" s="40"/>
    </row>
    <row r="134" spans="1:51" s="26" customFormat="1" ht="27.6" customHeight="1" outlineLevel="1" x14ac:dyDescent="0.3">
      <c r="A134" s="13"/>
      <c r="B134" s="13"/>
      <c r="C134" s="13"/>
      <c r="D134" s="69">
        <f t="shared" si="758"/>
        <v>20</v>
      </c>
      <c r="E134" s="70" t="s">
        <v>96</v>
      </c>
      <c r="F134" s="49">
        <v>0</v>
      </c>
      <c r="G134" s="95" t="str">
        <f t="shared" si="190"/>
        <v>YES</v>
      </c>
      <c r="H134" s="96">
        <v>43706</v>
      </c>
      <c r="I134" s="96">
        <v>43706</v>
      </c>
      <c r="J134" s="96">
        <f t="shared" si="191"/>
        <v>43708</v>
      </c>
      <c r="K134" s="35">
        <f t="shared" si="192"/>
        <v>43706</v>
      </c>
      <c r="L134" s="103">
        <v>3</v>
      </c>
      <c r="M134" s="103">
        <v>1</v>
      </c>
      <c r="N134" s="103">
        <v>6</v>
      </c>
      <c r="O134" s="103">
        <v>6</v>
      </c>
      <c r="P134" s="114">
        <f t="shared" si="1"/>
        <v>0</v>
      </c>
      <c r="Q134" s="115">
        <f t="shared" ref="Q134:Z134" si="899">+IF(AND(Q$16&gt;=$I134,Q$16&lt;=$K134),"",0)</f>
        <v>0</v>
      </c>
      <c r="R134" s="115">
        <f t="shared" si="899"/>
        <v>0</v>
      </c>
      <c r="S134" s="115">
        <f t="shared" si="899"/>
        <v>0</v>
      </c>
      <c r="T134" s="115">
        <f t="shared" si="899"/>
        <v>0</v>
      </c>
      <c r="U134" s="115">
        <f t="shared" si="899"/>
        <v>0</v>
      </c>
      <c r="V134" s="116">
        <f t="shared" si="899"/>
        <v>0</v>
      </c>
      <c r="W134" s="114">
        <f t="shared" si="899"/>
        <v>0</v>
      </c>
      <c r="X134" s="117">
        <f t="shared" si="899"/>
        <v>0</v>
      </c>
      <c r="Y134" s="117">
        <f t="shared" si="899"/>
        <v>0</v>
      </c>
      <c r="Z134" s="117">
        <f t="shared" si="899"/>
        <v>0</v>
      </c>
      <c r="AA134" s="117">
        <f t="shared" ref="AA134:AJ134" si="900">+IF(AND(AA$16&gt;=$I134,AA$16&lt;=$K134),"",0)</f>
        <v>0</v>
      </c>
      <c r="AB134" s="117">
        <f t="shared" si="900"/>
        <v>0</v>
      </c>
      <c r="AC134" s="118">
        <f t="shared" si="900"/>
        <v>0</v>
      </c>
      <c r="AD134" s="114">
        <f t="shared" si="900"/>
        <v>0</v>
      </c>
      <c r="AE134" s="117">
        <f t="shared" si="900"/>
        <v>0</v>
      </c>
      <c r="AF134" s="117">
        <f t="shared" si="900"/>
        <v>0</v>
      </c>
      <c r="AG134" s="117">
        <f t="shared" si="900"/>
        <v>0</v>
      </c>
      <c r="AH134" s="117">
        <f t="shared" si="900"/>
        <v>0</v>
      </c>
      <c r="AI134" s="117">
        <f t="shared" si="900"/>
        <v>0</v>
      </c>
      <c r="AJ134" s="118">
        <f t="shared" si="900"/>
        <v>0</v>
      </c>
      <c r="AK134" s="114">
        <f t="shared" ref="AK134:AX134" si="901">+IF(AND(AK$16&gt;=$I134,AK$16&lt;=$K134),"",0)</f>
        <v>0</v>
      </c>
      <c r="AL134" s="117">
        <f t="shared" si="901"/>
        <v>0</v>
      </c>
      <c r="AM134" s="117">
        <f t="shared" si="901"/>
        <v>0</v>
      </c>
      <c r="AN134" s="117">
        <f t="shared" si="901"/>
        <v>0</v>
      </c>
      <c r="AO134" s="117">
        <f t="shared" si="901"/>
        <v>0</v>
      </c>
      <c r="AP134" s="117">
        <f t="shared" si="901"/>
        <v>0</v>
      </c>
      <c r="AQ134" s="118">
        <f t="shared" si="901"/>
        <v>0</v>
      </c>
      <c r="AR134" s="115" t="str">
        <f t="shared" si="901"/>
        <v/>
      </c>
      <c r="AS134" s="115">
        <f t="shared" si="901"/>
        <v>0</v>
      </c>
      <c r="AT134" s="115">
        <f t="shared" si="901"/>
        <v>0</v>
      </c>
      <c r="AU134" s="115">
        <f t="shared" si="901"/>
        <v>0</v>
      </c>
      <c r="AV134" s="115">
        <f t="shared" si="901"/>
        <v>0</v>
      </c>
      <c r="AW134" s="115">
        <f t="shared" si="901"/>
        <v>0</v>
      </c>
      <c r="AX134" s="115">
        <f t="shared" si="901"/>
        <v>0</v>
      </c>
      <c r="AY134" s="40"/>
    </row>
    <row r="135" spans="1:51" s="26" customFormat="1" ht="27.6" customHeight="1" outlineLevel="1" x14ac:dyDescent="0.3">
      <c r="A135" s="13"/>
      <c r="B135" s="13"/>
      <c r="C135" s="13"/>
      <c r="D135" s="69">
        <f t="shared" si="758"/>
        <v>21</v>
      </c>
      <c r="E135" s="70" t="s">
        <v>111</v>
      </c>
      <c r="F135" s="49">
        <v>0</v>
      </c>
      <c r="G135" s="95" t="str">
        <f t="shared" si="190"/>
        <v>YES</v>
      </c>
      <c r="H135" s="96">
        <v>43709</v>
      </c>
      <c r="I135" s="96">
        <v>43709</v>
      </c>
      <c r="J135" s="96">
        <f t="shared" si="191"/>
        <v>43711</v>
      </c>
      <c r="K135" s="35">
        <f t="shared" si="192"/>
        <v>43709</v>
      </c>
      <c r="L135" s="103">
        <v>3</v>
      </c>
      <c r="M135" s="103">
        <v>1</v>
      </c>
      <c r="N135" s="103">
        <v>6</v>
      </c>
      <c r="O135" s="103">
        <v>6</v>
      </c>
      <c r="P135" s="114">
        <f t="shared" ref="P135:P136" si="902">+IF(AND(P$16&gt;=$I135,P$16&lt;=$K135),"",0)</f>
        <v>0</v>
      </c>
      <c r="Q135" s="115">
        <f t="shared" ref="Q135:Q136" si="903">+IF(AND(Q$16&gt;=$I135,Q$16&lt;=$K135),"",0)</f>
        <v>0</v>
      </c>
      <c r="R135" s="115">
        <f t="shared" ref="R135:R136" si="904">+IF(AND(R$16&gt;=$I135,R$16&lt;=$K135),"",0)</f>
        <v>0</v>
      </c>
      <c r="S135" s="115">
        <f t="shared" ref="S135:S136" si="905">+IF(AND(S$16&gt;=$I135,S$16&lt;=$K135),"",0)</f>
        <v>0</v>
      </c>
      <c r="T135" s="115">
        <f t="shared" ref="T135:T136" si="906">+IF(AND(T$16&gt;=$I135,T$16&lt;=$K135),"",0)</f>
        <v>0</v>
      </c>
      <c r="U135" s="115">
        <f t="shared" ref="U135:U136" si="907">+IF(AND(U$16&gt;=$I135,U$16&lt;=$K135),"",0)</f>
        <v>0</v>
      </c>
      <c r="V135" s="116">
        <f t="shared" ref="V135:V136" si="908">+IF(AND(V$16&gt;=$I135,V$16&lt;=$K135),"",0)</f>
        <v>0</v>
      </c>
      <c r="W135" s="114">
        <f t="shared" ref="W135:W136" si="909">+IF(AND(W$16&gt;=$I135,W$16&lt;=$K135),"",0)</f>
        <v>0</v>
      </c>
      <c r="X135" s="117">
        <f t="shared" ref="X135:X136" si="910">+IF(AND(X$16&gt;=$I135,X$16&lt;=$K135),"",0)</f>
        <v>0</v>
      </c>
      <c r="Y135" s="117">
        <f t="shared" ref="Y135:Y136" si="911">+IF(AND(Y$16&gt;=$I135,Y$16&lt;=$K135),"",0)</f>
        <v>0</v>
      </c>
      <c r="Z135" s="117">
        <f t="shared" ref="Z135:Z136" si="912">+IF(AND(Z$16&gt;=$I135,Z$16&lt;=$K135),"",0)</f>
        <v>0</v>
      </c>
      <c r="AA135" s="117">
        <f t="shared" ref="AA135:AA136" si="913">+IF(AND(AA$16&gt;=$I135,AA$16&lt;=$K135),"",0)</f>
        <v>0</v>
      </c>
      <c r="AB135" s="117">
        <f t="shared" ref="AB135:AB136" si="914">+IF(AND(AB$16&gt;=$I135,AB$16&lt;=$K135),"",0)</f>
        <v>0</v>
      </c>
      <c r="AC135" s="118">
        <f t="shared" ref="AC135:AC136" si="915">+IF(AND(AC$16&gt;=$I135,AC$16&lt;=$K135),"",0)</f>
        <v>0</v>
      </c>
      <c r="AD135" s="114">
        <f t="shared" ref="AD135:AD136" si="916">+IF(AND(AD$16&gt;=$I135,AD$16&lt;=$K135),"",0)</f>
        <v>0</v>
      </c>
      <c r="AE135" s="117">
        <f t="shared" ref="AE135:AE136" si="917">+IF(AND(AE$16&gt;=$I135,AE$16&lt;=$K135),"",0)</f>
        <v>0</v>
      </c>
      <c r="AF135" s="117">
        <f t="shared" ref="AF135:AF136" si="918">+IF(AND(AF$16&gt;=$I135,AF$16&lt;=$K135),"",0)</f>
        <v>0</v>
      </c>
      <c r="AG135" s="117">
        <f t="shared" ref="AG135:AG136" si="919">+IF(AND(AG$16&gt;=$I135,AG$16&lt;=$K135),"",0)</f>
        <v>0</v>
      </c>
      <c r="AH135" s="117">
        <f t="shared" ref="AH135:AH136" si="920">+IF(AND(AH$16&gt;=$I135,AH$16&lt;=$K135),"",0)</f>
        <v>0</v>
      </c>
      <c r="AI135" s="117">
        <f t="shared" ref="AI135:AI136" si="921">+IF(AND(AI$16&gt;=$I135,AI$16&lt;=$K135),"",0)</f>
        <v>0</v>
      </c>
      <c r="AJ135" s="118">
        <f t="shared" ref="AJ135:AJ136" si="922">+IF(AND(AJ$16&gt;=$I135,AJ$16&lt;=$K135),"",0)</f>
        <v>0</v>
      </c>
      <c r="AK135" s="114">
        <f t="shared" ref="AK135:AK136" si="923">+IF(AND(AK$16&gt;=$I135,AK$16&lt;=$K135),"",0)</f>
        <v>0</v>
      </c>
      <c r="AL135" s="117">
        <f t="shared" ref="AL135:AL136" si="924">+IF(AND(AL$16&gt;=$I135,AL$16&lt;=$K135),"",0)</f>
        <v>0</v>
      </c>
      <c r="AM135" s="117">
        <f t="shared" ref="AM135:AM136" si="925">+IF(AND(AM$16&gt;=$I135,AM$16&lt;=$K135),"",0)</f>
        <v>0</v>
      </c>
      <c r="AN135" s="117">
        <f t="shared" ref="AN135:AN136" si="926">+IF(AND(AN$16&gt;=$I135,AN$16&lt;=$K135),"",0)</f>
        <v>0</v>
      </c>
      <c r="AO135" s="117">
        <f t="shared" ref="AO135:AO136" si="927">+IF(AND(AO$16&gt;=$I135,AO$16&lt;=$K135),"",0)</f>
        <v>0</v>
      </c>
      <c r="AP135" s="117">
        <f t="shared" ref="AP135:AP136" si="928">+IF(AND(AP$16&gt;=$I135,AP$16&lt;=$K135),"",0)</f>
        <v>0</v>
      </c>
      <c r="AQ135" s="118">
        <f t="shared" ref="AQ135:AQ136" si="929">+IF(AND(AQ$16&gt;=$I135,AQ$16&lt;=$K135),"",0)</f>
        <v>0</v>
      </c>
      <c r="AR135" s="115">
        <f t="shared" ref="AR135:AR136" si="930">+IF(AND(AR$16&gt;=$I135,AR$16&lt;=$K135),"",0)</f>
        <v>0</v>
      </c>
      <c r="AS135" s="115">
        <f t="shared" ref="AS135:AS136" si="931">+IF(AND(AS$16&gt;=$I135,AS$16&lt;=$K135),"",0)</f>
        <v>0</v>
      </c>
      <c r="AT135" s="115">
        <f t="shared" ref="AT135:AT136" si="932">+IF(AND(AT$16&gt;=$I135,AT$16&lt;=$K135),"",0)</f>
        <v>0</v>
      </c>
      <c r="AU135" s="115" t="str">
        <f t="shared" ref="AU135:AU136" si="933">+IF(AND(AU$16&gt;=$I135,AU$16&lt;=$K135),"",0)</f>
        <v/>
      </c>
      <c r="AV135" s="115">
        <f t="shared" ref="AV135:AV136" si="934">+IF(AND(AV$16&gt;=$I135,AV$16&lt;=$K135),"",0)</f>
        <v>0</v>
      </c>
      <c r="AW135" s="115">
        <f t="shared" ref="AW135:AW136" si="935">+IF(AND(AW$16&gt;=$I135,AW$16&lt;=$K135),"",0)</f>
        <v>0</v>
      </c>
      <c r="AX135" s="115">
        <f t="shared" ref="AX135:AX136" si="936">+IF(AND(AX$16&gt;=$I135,AX$16&lt;=$K135),"",0)</f>
        <v>0</v>
      </c>
      <c r="AY135" s="40"/>
    </row>
    <row r="136" spans="1:51" s="26" customFormat="1" ht="27.6" customHeight="1" outlineLevel="1" x14ac:dyDescent="0.3">
      <c r="A136" s="13"/>
      <c r="B136" s="13"/>
      <c r="C136" s="13"/>
      <c r="D136" s="69">
        <f t="shared" si="758"/>
        <v>22</v>
      </c>
      <c r="E136" s="70" t="s">
        <v>87</v>
      </c>
      <c r="F136" s="49">
        <v>0</v>
      </c>
      <c r="G136" s="95" t="str">
        <f t="shared" si="190"/>
        <v>YES</v>
      </c>
      <c r="H136" s="96">
        <v>43704</v>
      </c>
      <c r="I136" s="96">
        <v>43704</v>
      </c>
      <c r="J136" s="96">
        <f t="shared" si="191"/>
        <v>43704</v>
      </c>
      <c r="K136" s="35">
        <f t="shared" si="192"/>
        <v>43704</v>
      </c>
      <c r="L136" s="103">
        <v>1</v>
      </c>
      <c r="M136" s="103">
        <v>1</v>
      </c>
      <c r="N136" s="103">
        <v>4</v>
      </c>
      <c r="O136" s="103">
        <v>4</v>
      </c>
      <c r="P136" s="114">
        <f t="shared" si="902"/>
        <v>0</v>
      </c>
      <c r="Q136" s="115">
        <f t="shared" si="903"/>
        <v>0</v>
      </c>
      <c r="R136" s="115">
        <f t="shared" si="904"/>
        <v>0</v>
      </c>
      <c r="S136" s="115">
        <f t="shared" si="905"/>
        <v>0</v>
      </c>
      <c r="T136" s="115">
        <f t="shared" si="906"/>
        <v>0</v>
      </c>
      <c r="U136" s="115">
        <f t="shared" si="907"/>
        <v>0</v>
      </c>
      <c r="V136" s="116">
        <f t="shared" si="908"/>
        <v>0</v>
      </c>
      <c r="W136" s="114">
        <f t="shared" si="909"/>
        <v>0</v>
      </c>
      <c r="X136" s="117">
        <f t="shared" si="910"/>
        <v>0</v>
      </c>
      <c r="Y136" s="117">
        <f t="shared" si="911"/>
        <v>0</v>
      </c>
      <c r="Z136" s="117">
        <f t="shared" si="912"/>
        <v>0</v>
      </c>
      <c r="AA136" s="117">
        <f t="shared" si="913"/>
        <v>0</v>
      </c>
      <c r="AB136" s="117">
        <f t="shared" si="914"/>
        <v>0</v>
      </c>
      <c r="AC136" s="118">
        <f t="shared" si="915"/>
        <v>0</v>
      </c>
      <c r="AD136" s="114">
        <f t="shared" si="916"/>
        <v>0</v>
      </c>
      <c r="AE136" s="117">
        <f t="shared" si="917"/>
        <v>0</v>
      </c>
      <c r="AF136" s="117">
        <f t="shared" si="918"/>
        <v>0</v>
      </c>
      <c r="AG136" s="117">
        <f t="shared" si="919"/>
        <v>0</v>
      </c>
      <c r="AH136" s="117">
        <f t="shared" si="920"/>
        <v>0</v>
      </c>
      <c r="AI136" s="117">
        <f t="shared" si="921"/>
        <v>0</v>
      </c>
      <c r="AJ136" s="118">
        <f t="shared" si="922"/>
        <v>0</v>
      </c>
      <c r="AK136" s="114">
        <f t="shared" si="923"/>
        <v>0</v>
      </c>
      <c r="AL136" s="117">
        <f t="shared" si="924"/>
        <v>0</v>
      </c>
      <c r="AM136" s="117">
        <f t="shared" si="925"/>
        <v>0</v>
      </c>
      <c r="AN136" s="117">
        <f t="shared" si="926"/>
        <v>0</v>
      </c>
      <c r="AO136" s="117">
        <f t="shared" si="927"/>
        <v>0</v>
      </c>
      <c r="AP136" s="117" t="str">
        <f t="shared" si="928"/>
        <v/>
      </c>
      <c r="AQ136" s="118">
        <f t="shared" si="929"/>
        <v>0</v>
      </c>
      <c r="AR136" s="115">
        <f t="shared" si="930"/>
        <v>0</v>
      </c>
      <c r="AS136" s="115">
        <f t="shared" si="931"/>
        <v>0</v>
      </c>
      <c r="AT136" s="115">
        <f t="shared" si="932"/>
        <v>0</v>
      </c>
      <c r="AU136" s="115">
        <f t="shared" si="933"/>
        <v>0</v>
      </c>
      <c r="AV136" s="115">
        <f t="shared" si="934"/>
        <v>0</v>
      </c>
      <c r="AW136" s="115">
        <f t="shared" si="935"/>
        <v>0</v>
      </c>
      <c r="AX136" s="115">
        <f t="shared" si="936"/>
        <v>0</v>
      </c>
      <c r="AY136" s="40"/>
    </row>
    <row r="137" spans="1:51" s="26" customFormat="1" ht="27.6" customHeight="1" outlineLevel="1" x14ac:dyDescent="0.3">
      <c r="A137" s="13"/>
      <c r="B137" s="13"/>
      <c r="C137" s="13"/>
      <c r="D137" s="69">
        <f t="shared" si="758"/>
        <v>23</v>
      </c>
      <c r="E137" s="70" t="s">
        <v>97</v>
      </c>
      <c r="F137" s="49">
        <v>0</v>
      </c>
      <c r="G137" s="95" t="str">
        <f t="shared" si="190"/>
        <v>YES</v>
      </c>
      <c r="H137" s="96">
        <v>43706</v>
      </c>
      <c r="I137" s="96">
        <v>43706</v>
      </c>
      <c r="J137" s="96">
        <f t="shared" ref="J137:J139" si="937">+H137+L137-1</f>
        <v>43706</v>
      </c>
      <c r="K137" s="35">
        <f t="shared" ref="K137:K139" si="938">+I137+M137-1</f>
        <v>43706</v>
      </c>
      <c r="L137" s="103">
        <v>1</v>
      </c>
      <c r="M137" s="103">
        <v>1</v>
      </c>
      <c r="N137" s="103">
        <v>4</v>
      </c>
      <c r="O137" s="103">
        <v>4</v>
      </c>
      <c r="P137" s="114">
        <f t="shared" ref="P137:P138" si="939">+IF(AND(P$16&gt;=$I137,P$16&lt;=$K137),"",0)</f>
        <v>0</v>
      </c>
      <c r="Q137" s="115">
        <f t="shared" ref="Q137:Q138" si="940">+IF(AND(Q$16&gt;=$I137,Q$16&lt;=$K137),"",0)</f>
        <v>0</v>
      </c>
      <c r="R137" s="115">
        <f t="shared" ref="R137:R138" si="941">+IF(AND(R$16&gt;=$I137,R$16&lt;=$K137),"",0)</f>
        <v>0</v>
      </c>
      <c r="S137" s="115">
        <f t="shared" ref="S137:S138" si="942">+IF(AND(S$16&gt;=$I137,S$16&lt;=$K137),"",0)</f>
        <v>0</v>
      </c>
      <c r="T137" s="115">
        <f t="shared" ref="T137:T138" si="943">+IF(AND(T$16&gt;=$I137,T$16&lt;=$K137),"",0)</f>
        <v>0</v>
      </c>
      <c r="U137" s="115">
        <f t="shared" ref="U137:U138" si="944">+IF(AND(U$16&gt;=$I137,U$16&lt;=$K137),"",0)</f>
        <v>0</v>
      </c>
      <c r="V137" s="116">
        <f t="shared" ref="V137:V138" si="945">+IF(AND(V$16&gt;=$I137,V$16&lt;=$K137),"",0)</f>
        <v>0</v>
      </c>
      <c r="W137" s="114">
        <f t="shared" ref="W137:W138" si="946">+IF(AND(W$16&gt;=$I137,W$16&lt;=$K137),"",0)</f>
        <v>0</v>
      </c>
      <c r="X137" s="117">
        <f t="shared" ref="X137:X138" si="947">+IF(AND(X$16&gt;=$I137,X$16&lt;=$K137),"",0)</f>
        <v>0</v>
      </c>
      <c r="Y137" s="117">
        <f t="shared" ref="Y137:Y138" si="948">+IF(AND(Y$16&gt;=$I137,Y$16&lt;=$K137),"",0)</f>
        <v>0</v>
      </c>
      <c r="Z137" s="117">
        <f t="shared" ref="Z137:Z138" si="949">+IF(AND(Z$16&gt;=$I137,Z$16&lt;=$K137),"",0)</f>
        <v>0</v>
      </c>
      <c r="AA137" s="117">
        <f t="shared" ref="AA137:AA138" si="950">+IF(AND(AA$16&gt;=$I137,AA$16&lt;=$K137),"",0)</f>
        <v>0</v>
      </c>
      <c r="AB137" s="117">
        <f t="shared" ref="AB137:AB138" si="951">+IF(AND(AB$16&gt;=$I137,AB$16&lt;=$K137),"",0)</f>
        <v>0</v>
      </c>
      <c r="AC137" s="118">
        <f t="shared" ref="AC137:AC138" si="952">+IF(AND(AC$16&gt;=$I137,AC$16&lt;=$K137),"",0)</f>
        <v>0</v>
      </c>
      <c r="AD137" s="114">
        <f t="shared" ref="AD137:AD138" si="953">+IF(AND(AD$16&gt;=$I137,AD$16&lt;=$K137),"",0)</f>
        <v>0</v>
      </c>
      <c r="AE137" s="117">
        <f t="shared" ref="AE137:AE138" si="954">+IF(AND(AE$16&gt;=$I137,AE$16&lt;=$K137),"",0)</f>
        <v>0</v>
      </c>
      <c r="AF137" s="117">
        <f t="shared" ref="AF137:AF138" si="955">+IF(AND(AF$16&gt;=$I137,AF$16&lt;=$K137),"",0)</f>
        <v>0</v>
      </c>
      <c r="AG137" s="117">
        <f t="shared" ref="AG137:AG138" si="956">+IF(AND(AG$16&gt;=$I137,AG$16&lt;=$K137),"",0)</f>
        <v>0</v>
      </c>
      <c r="AH137" s="117">
        <f t="shared" ref="AH137:AH138" si="957">+IF(AND(AH$16&gt;=$I137,AH$16&lt;=$K137),"",0)</f>
        <v>0</v>
      </c>
      <c r="AI137" s="117">
        <f t="shared" ref="AI137:AI138" si="958">+IF(AND(AI$16&gt;=$I137,AI$16&lt;=$K137),"",0)</f>
        <v>0</v>
      </c>
      <c r="AJ137" s="118">
        <f t="shared" ref="AJ137:AJ138" si="959">+IF(AND(AJ$16&gt;=$I137,AJ$16&lt;=$K137),"",0)</f>
        <v>0</v>
      </c>
      <c r="AK137" s="114">
        <f t="shared" ref="AK137:AK138" si="960">+IF(AND(AK$16&gt;=$I137,AK$16&lt;=$K137),"",0)</f>
        <v>0</v>
      </c>
      <c r="AL137" s="117">
        <f t="shared" ref="AL137:AL138" si="961">+IF(AND(AL$16&gt;=$I137,AL$16&lt;=$K137),"",0)</f>
        <v>0</v>
      </c>
      <c r="AM137" s="117">
        <f t="shared" ref="AM137:AM138" si="962">+IF(AND(AM$16&gt;=$I137,AM$16&lt;=$K137),"",0)</f>
        <v>0</v>
      </c>
      <c r="AN137" s="117">
        <f t="shared" ref="AN137:AN138" si="963">+IF(AND(AN$16&gt;=$I137,AN$16&lt;=$K137),"",0)</f>
        <v>0</v>
      </c>
      <c r="AO137" s="117">
        <f t="shared" ref="AO137:AO138" si="964">+IF(AND(AO$16&gt;=$I137,AO$16&lt;=$K137),"",0)</f>
        <v>0</v>
      </c>
      <c r="AP137" s="117">
        <f t="shared" ref="AP137:AP138" si="965">+IF(AND(AP$16&gt;=$I137,AP$16&lt;=$K137),"",0)</f>
        <v>0</v>
      </c>
      <c r="AQ137" s="118">
        <f t="shared" ref="AQ137:AQ138" si="966">+IF(AND(AQ$16&gt;=$I137,AQ$16&lt;=$K137),"",0)</f>
        <v>0</v>
      </c>
      <c r="AR137" s="115" t="str">
        <f t="shared" ref="AR137:AR138" si="967">+IF(AND(AR$16&gt;=$I137,AR$16&lt;=$K137),"",0)</f>
        <v/>
      </c>
      <c r="AS137" s="115">
        <f t="shared" ref="AS137:AS138" si="968">+IF(AND(AS$16&gt;=$I137,AS$16&lt;=$K137),"",0)</f>
        <v>0</v>
      </c>
      <c r="AT137" s="115">
        <f t="shared" ref="AT137:AT138" si="969">+IF(AND(AT$16&gt;=$I137,AT$16&lt;=$K137),"",0)</f>
        <v>0</v>
      </c>
      <c r="AU137" s="115">
        <f t="shared" ref="AU137:AU138" si="970">+IF(AND(AU$16&gt;=$I137,AU$16&lt;=$K137),"",0)</f>
        <v>0</v>
      </c>
      <c r="AV137" s="115">
        <f t="shared" ref="AV137:AV138" si="971">+IF(AND(AV$16&gt;=$I137,AV$16&lt;=$K137),"",0)</f>
        <v>0</v>
      </c>
      <c r="AW137" s="115">
        <f t="shared" ref="AW137:AW138" si="972">+IF(AND(AW$16&gt;=$I137,AW$16&lt;=$K137),"",0)</f>
        <v>0</v>
      </c>
      <c r="AX137" s="115">
        <f t="shared" ref="AX137:AX138" si="973">+IF(AND(AX$16&gt;=$I137,AX$16&lt;=$K137),"",0)</f>
        <v>0</v>
      </c>
      <c r="AY137" s="40"/>
    </row>
    <row r="138" spans="1:51" s="26" customFormat="1" ht="27.6" customHeight="1" outlineLevel="1" x14ac:dyDescent="0.3">
      <c r="A138" s="13"/>
      <c r="B138" s="13"/>
      <c r="C138" s="13"/>
      <c r="D138" s="69">
        <f t="shared" si="758"/>
        <v>24</v>
      </c>
      <c r="E138" s="70" t="s">
        <v>112</v>
      </c>
      <c r="F138" s="49">
        <v>0</v>
      </c>
      <c r="G138" s="95" t="str">
        <f t="shared" si="190"/>
        <v>YES</v>
      </c>
      <c r="H138" s="96">
        <v>43708</v>
      </c>
      <c r="I138" s="96">
        <v>43708</v>
      </c>
      <c r="J138" s="96">
        <f t="shared" si="937"/>
        <v>43708</v>
      </c>
      <c r="K138" s="35">
        <f t="shared" si="938"/>
        <v>43708</v>
      </c>
      <c r="L138" s="103">
        <v>1</v>
      </c>
      <c r="M138" s="103">
        <v>1</v>
      </c>
      <c r="N138" s="103">
        <v>4</v>
      </c>
      <c r="O138" s="103">
        <v>4</v>
      </c>
      <c r="P138" s="114">
        <f t="shared" si="939"/>
        <v>0</v>
      </c>
      <c r="Q138" s="115">
        <f t="shared" si="940"/>
        <v>0</v>
      </c>
      <c r="R138" s="115">
        <f t="shared" si="941"/>
        <v>0</v>
      </c>
      <c r="S138" s="115">
        <f t="shared" si="942"/>
        <v>0</v>
      </c>
      <c r="T138" s="115">
        <f t="shared" si="943"/>
        <v>0</v>
      </c>
      <c r="U138" s="115">
        <f t="shared" si="944"/>
        <v>0</v>
      </c>
      <c r="V138" s="116">
        <f t="shared" si="945"/>
        <v>0</v>
      </c>
      <c r="W138" s="114">
        <f t="shared" si="946"/>
        <v>0</v>
      </c>
      <c r="X138" s="117">
        <f t="shared" si="947"/>
        <v>0</v>
      </c>
      <c r="Y138" s="117">
        <f t="shared" si="948"/>
        <v>0</v>
      </c>
      <c r="Z138" s="117">
        <f t="shared" si="949"/>
        <v>0</v>
      </c>
      <c r="AA138" s="117">
        <f t="shared" si="950"/>
        <v>0</v>
      </c>
      <c r="AB138" s="117">
        <f t="shared" si="951"/>
        <v>0</v>
      </c>
      <c r="AC138" s="118">
        <f t="shared" si="952"/>
        <v>0</v>
      </c>
      <c r="AD138" s="114">
        <f t="shared" si="953"/>
        <v>0</v>
      </c>
      <c r="AE138" s="117">
        <f t="shared" si="954"/>
        <v>0</v>
      </c>
      <c r="AF138" s="117">
        <f t="shared" si="955"/>
        <v>0</v>
      </c>
      <c r="AG138" s="117">
        <f t="shared" si="956"/>
        <v>0</v>
      </c>
      <c r="AH138" s="117">
        <f t="shared" si="957"/>
        <v>0</v>
      </c>
      <c r="AI138" s="117">
        <f t="shared" si="958"/>
        <v>0</v>
      </c>
      <c r="AJ138" s="118">
        <f t="shared" si="959"/>
        <v>0</v>
      </c>
      <c r="AK138" s="114">
        <f t="shared" si="960"/>
        <v>0</v>
      </c>
      <c r="AL138" s="117">
        <f t="shared" si="961"/>
        <v>0</v>
      </c>
      <c r="AM138" s="117">
        <f t="shared" si="962"/>
        <v>0</v>
      </c>
      <c r="AN138" s="117">
        <f t="shared" si="963"/>
        <v>0</v>
      </c>
      <c r="AO138" s="117">
        <f t="shared" si="964"/>
        <v>0</v>
      </c>
      <c r="AP138" s="117">
        <f t="shared" si="965"/>
        <v>0</v>
      </c>
      <c r="AQ138" s="118">
        <f t="shared" si="966"/>
        <v>0</v>
      </c>
      <c r="AR138" s="115">
        <f t="shared" si="967"/>
        <v>0</v>
      </c>
      <c r="AS138" s="115">
        <f t="shared" si="968"/>
        <v>0</v>
      </c>
      <c r="AT138" s="115" t="str">
        <f t="shared" si="969"/>
        <v/>
      </c>
      <c r="AU138" s="115">
        <f t="shared" si="970"/>
        <v>0</v>
      </c>
      <c r="AV138" s="115">
        <f t="shared" si="971"/>
        <v>0</v>
      </c>
      <c r="AW138" s="115">
        <f t="shared" si="972"/>
        <v>0</v>
      </c>
      <c r="AX138" s="115">
        <f t="shared" si="973"/>
        <v>0</v>
      </c>
      <c r="AY138" s="40"/>
    </row>
    <row r="139" spans="1:51" s="26" customFormat="1" ht="27.6" customHeight="1" outlineLevel="1" x14ac:dyDescent="0.3">
      <c r="A139" s="13"/>
      <c r="B139" s="13"/>
      <c r="C139" s="13"/>
      <c r="D139" s="69">
        <f t="shared" si="758"/>
        <v>25</v>
      </c>
      <c r="E139" s="70" t="s">
        <v>56</v>
      </c>
      <c r="F139" s="49">
        <v>0</v>
      </c>
      <c r="G139" s="95" t="str">
        <f t="shared" si="190"/>
        <v>YES</v>
      </c>
      <c r="H139" s="96">
        <v>43713</v>
      </c>
      <c r="I139" s="96">
        <v>43713</v>
      </c>
      <c r="J139" s="96">
        <f t="shared" si="937"/>
        <v>43713</v>
      </c>
      <c r="K139" s="35">
        <f t="shared" si="938"/>
        <v>43713</v>
      </c>
      <c r="L139" s="103">
        <v>1</v>
      </c>
      <c r="M139" s="103">
        <v>1</v>
      </c>
      <c r="N139" s="103">
        <v>2</v>
      </c>
      <c r="O139" s="103">
        <v>2</v>
      </c>
      <c r="P139" s="114">
        <f t="shared" ref="P139" si="974">+IF(AND(P$16&gt;=$I139,P$16&lt;=$K139),"",0)</f>
        <v>0</v>
      </c>
      <c r="Q139" s="115">
        <f t="shared" ref="Q139" si="975">+IF(AND(Q$16&gt;=$I139,Q$16&lt;=$K139),"",0)</f>
        <v>0</v>
      </c>
      <c r="R139" s="115">
        <f t="shared" ref="R139" si="976">+IF(AND(R$16&gt;=$I139,R$16&lt;=$K139),"",0)</f>
        <v>0</v>
      </c>
      <c r="S139" s="115">
        <f t="shared" ref="S139" si="977">+IF(AND(S$16&gt;=$I139,S$16&lt;=$K139),"",0)</f>
        <v>0</v>
      </c>
      <c r="T139" s="115">
        <f t="shared" ref="T139" si="978">+IF(AND(T$16&gt;=$I139,T$16&lt;=$K139),"",0)</f>
        <v>0</v>
      </c>
      <c r="U139" s="115">
        <f t="shared" ref="U139" si="979">+IF(AND(U$16&gt;=$I139,U$16&lt;=$K139),"",0)</f>
        <v>0</v>
      </c>
      <c r="V139" s="116">
        <f t="shared" ref="V139" si="980">+IF(AND(V$16&gt;=$I139,V$16&lt;=$K139),"",0)</f>
        <v>0</v>
      </c>
      <c r="W139" s="114">
        <f t="shared" ref="W139" si="981">+IF(AND(W$16&gt;=$I139,W$16&lt;=$K139),"",0)</f>
        <v>0</v>
      </c>
      <c r="X139" s="117">
        <f t="shared" ref="X139" si="982">+IF(AND(X$16&gt;=$I139,X$16&lt;=$K139),"",0)</f>
        <v>0</v>
      </c>
      <c r="Y139" s="117">
        <f t="shared" ref="Y139" si="983">+IF(AND(Y$16&gt;=$I139,Y$16&lt;=$K139),"",0)</f>
        <v>0</v>
      </c>
      <c r="Z139" s="117">
        <f t="shared" ref="Z139" si="984">+IF(AND(Z$16&gt;=$I139,Z$16&lt;=$K139),"",0)</f>
        <v>0</v>
      </c>
      <c r="AA139" s="117">
        <f t="shared" ref="AA139" si="985">+IF(AND(AA$16&gt;=$I139,AA$16&lt;=$K139),"",0)</f>
        <v>0</v>
      </c>
      <c r="AB139" s="117">
        <f t="shared" ref="AB139" si="986">+IF(AND(AB$16&gt;=$I139,AB$16&lt;=$K139),"",0)</f>
        <v>0</v>
      </c>
      <c r="AC139" s="118">
        <f t="shared" ref="AC139" si="987">+IF(AND(AC$16&gt;=$I139,AC$16&lt;=$K139),"",0)</f>
        <v>0</v>
      </c>
      <c r="AD139" s="114">
        <f t="shared" ref="AD139" si="988">+IF(AND(AD$16&gt;=$I139,AD$16&lt;=$K139),"",0)</f>
        <v>0</v>
      </c>
      <c r="AE139" s="117">
        <f t="shared" ref="AE139" si="989">+IF(AND(AE$16&gt;=$I139,AE$16&lt;=$K139),"",0)</f>
        <v>0</v>
      </c>
      <c r="AF139" s="117">
        <f t="shared" ref="AF139" si="990">+IF(AND(AF$16&gt;=$I139,AF$16&lt;=$K139),"",0)</f>
        <v>0</v>
      </c>
      <c r="AG139" s="117">
        <f t="shared" ref="AG139" si="991">+IF(AND(AG$16&gt;=$I139,AG$16&lt;=$K139),"",0)</f>
        <v>0</v>
      </c>
      <c r="AH139" s="117">
        <f t="shared" ref="AH139" si="992">+IF(AND(AH$16&gt;=$I139,AH$16&lt;=$K139),"",0)</f>
        <v>0</v>
      </c>
      <c r="AI139" s="117">
        <f t="shared" ref="AI139" si="993">+IF(AND(AI$16&gt;=$I139,AI$16&lt;=$K139),"",0)</f>
        <v>0</v>
      </c>
      <c r="AJ139" s="118">
        <f t="shared" ref="AJ139" si="994">+IF(AND(AJ$16&gt;=$I139,AJ$16&lt;=$K139),"",0)</f>
        <v>0</v>
      </c>
      <c r="AK139" s="114">
        <f t="shared" ref="AK139" si="995">+IF(AND(AK$16&gt;=$I139,AK$16&lt;=$K139),"",0)</f>
        <v>0</v>
      </c>
      <c r="AL139" s="117">
        <f t="shared" ref="AL139" si="996">+IF(AND(AL$16&gt;=$I139,AL$16&lt;=$K139),"",0)</f>
        <v>0</v>
      </c>
      <c r="AM139" s="117">
        <f t="shared" ref="AM139" si="997">+IF(AND(AM$16&gt;=$I139,AM$16&lt;=$K139),"",0)</f>
        <v>0</v>
      </c>
      <c r="AN139" s="117">
        <f t="shared" ref="AN139" si="998">+IF(AND(AN$16&gt;=$I139,AN$16&lt;=$K139),"",0)</f>
        <v>0</v>
      </c>
      <c r="AO139" s="117">
        <f t="shared" ref="AO139" si="999">+IF(AND(AO$16&gt;=$I139,AO$16&lt;=$K139),"",0)</f>
        <v>0</v>
      </c>
      <c r="AP139" s="117">
        <f t="shared" ref="AP139" si="1000">+IF(AND(AP$16&gt;=$I139,AP$16&lt;=$K139),"",0)</f>
        <v>0</v>
      </c>
      <c r="AQ139" s="118">
        <f t="shared" ref="AQ139" si="1001">+IF(AND(AQ$16&gt;=$I139,AQ$16&lt;=$K139),"",0)</f>
        <v>0</v>
      </c>
      <c r="AR139" s="115">
        <f t="shared" ref="AR139" si="1002">+IF(AND(AR$16&gt;=$I139,AR$16&lt;=$K139),"",0)</f>
        <v>0</v>
      </c>
      <c r="AS139" s="115">
        <f t="shared" ref="AS139" si="1003">+IF(AND(AS$16&gt;=$I139,AS$16&lt;=$K139),"",0)</f>
        <v>0</v>
      </c>
      <c r="AT139" s="115">
        <f t="shared" ref="AT139" si="1004">+IF(AND(AT$16&gt;=$I139,AT$16&lt;=$K139),"",0)</f>
        <v>0</v>
      </c>
      <c r="AU139" s="115">
        <f t="shared" ref="AU139" si="1005">+IF(AND(AU$16&gt;=$I139,AU$16&lt;=$K139),"",0)</f>
        <v>0</v>
      </c>
      <c r="AV139" s="115">
        <f t="shared" ref="AV139" si="1006">+IF(AND(AV$16&gt;=$I139,AV$16&lt;=$K139),"",0)</f>
        <v>0</v>
      </c>
      <c r="AW139" s="115">
        <f t="shared" ref="AW139" si="1007">+IF(AND(AW$16&gt;=$I139,AW$16&lt;=$K139),"",0)</f>
        <v>0</v>
      </c>
      <c r="AX139" s="115">
        <f t="shared" ref="AX139" si="1008">+IF(AND(AX$16&gt;=$I139,AX$16&lt;=$K139),"",0)</f>
        <v>0</v>
      </c>
      <c r="AY139" s="40"/>
    </row>
    <row r="140" spans="1:51" s="26" customFormat="1" ht="27.6" customHeight="1" outlineLevel="1" x14ac:dyDescent="0.3">
      <c r="A140" s="13"/>
      <c r="B140" s="13"/>
      <c r="C140" s="13"/>
      <c r="D140" s="69"/>
      <c r="E140" s="70"/>
      <c r="F140" s="49"/>
      <c r="G140" s="95"/>
      <c r="H140" s="96"/>
      <c r="I140" s="96"/>
      <c r="J140" s="96"/>
      <c r="K140" s="35"/>
      <c r="L140" s="103"/>
      <c r="M140" s="103"/>
      <c r="N140" s="103"/>
      <c r="O140" s="103"/>
      <c r="P140" s="114"/>
      <c r="Q140" s="115"/>
      <c r="R140" s="115"/>
      <c r="S140" s="115"/>
      <c r="T140" s="115"/>
      <c r="U140" s="115"/>
      <c r="V140" s="116"/>
      <c r="W140" s="114"/>
      <c r="X140" s="117"/>
      <c r="Y140" s="117"/>
      <c r="Z140" s="117"/>
      <c r="AA140" s="117"/>
      <c r="AB140" s="117"/>
      <c r="AC140" s="118"/>
      <c r="AD140" s="114"/>
      <c r="AE140" s="117"/>
      <c r="AF140" s="117"/>
      <c r="AG140" s="117"/>
      <c r="AH140" s="117"/>
      <c r="AI140" s="117"/>
      <c r="AJ140" s="118"/>
      <c r="AK140" s="114"/>
      <c r="AL140" s="117"/>
      <c r="AM140" s="117"/>
      <c r="AN140" s="117"/>
      <c r="AO140" s="117"/>
      <c r="AP140" s="117"/>
      <c r="AQ140" s="118"/>
      <c r="AR140" s="115"/>
      <c r="AS140" s="115"/>
      <c r="AT140" s="115"/>
      <c r="AU140" s="115"/>
      <c r="AV140" s="115"/>
      <c r="AW140" s="115"/>
      <c r="AX140" s="115"/>
      <c r="AY140" s="40"/>
    </row>
    <row r="141" spans="1:51" s="26" customFormat="1" ht="27.9" customHeight="1" outlineLevel="1" thickBot="1" x14ac:dyDescent="0.35">
      <c r="A141" s="13"/>
      <c r="B141" s="13"/>
      <c r="C141" s="13"/>
      <c r="D141" s="71"/>
      <c r="E141" s="72"/>
      <c r="F141" s="50"/>
      <c r="G141" s="98"/>
      <c r="H141" s="99"/>
      <c r="I141" s="99"/>
      <c r="J141" s="99"/>
      <c r="K141" s="44"/>
      <c r="L141" s="129"/>
      <c r="M141" s="129"/>
      <c r="N141" s="129"/>
      <c r="O141" s="129"/>
      <c r="P141" s="114"/>
      <c r="Q141" s="115"/>
      <c r="R141" s="115"/>
      <c r="S141" s="115"/>
      <c r="T141" s="115"/>
      <c r="U141" s="115"/>
      <c r="V141" s="116"/>
      <c r="W141" s="114"/>
      <c r="X141" s="117"/>
      <c r="Y141" s="117"/>
      <c r="Z141" s="117"/>
      <c r="AA141" s="117"/>
      <c r="AB141" s="117"/>
      <c r="AC141" s="118"/>
      <c r="AD141" s="114"/>
      <c r="AE141" s="117"/>
      <c r="AF141" s="117"/>
      <c r="AG141" s="117"/>
      <c r="AH141" s="117"/>
      <c r="AI141" s="117"/>
      <c r="AJ141" s="118"/>
      <c r="AK141" s="114"/>
      <c r="AL141" s="117"/>
      <c r="AM141" s="117"/>
      <c r="AN141" s="117"/>
      <c r="AO141" s="117"/>
      <c r="AP141" s="117"/>
      <c r="AQ141" s="118"/>
      <c r="AR141" s="115"/>
      <c r="AS141" s="115"/>
      <c r="AT141" s="115"/>
      <c r="AU141" s="115"/>
      <c r="AV141" s="115"/>
      <c r="AW141" s="115"/>
      <c r="AX141" s="115"/>
      <c r="AY141" s="40"/>
    </row>
    <row r="142" spans="1:51" ht="14.4" thickTop="1" x14ac:dyDescent="0.3">
      <c r="H142" s="27"/>
      <c r="I142" s="27"/>
      <c r="J142" s="27"/>
      <c r="M142" s="27"/>
      <c r="N142" s="27"/>
      <c r="O142" s="27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</row>
    <row r="143" spans="1:51" x14ac:dyDescent="0.3">
      <c r="H143" s="27"/>
      <c r="I143" s="27"/>
      <c r="J143" s="27"/>
      <c r="M143" s="27"/>
      <c r="N143" s="27"/>
      <c r="O143" s="27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  <c r="AN143" s="119"/>
      <c r="AO143" s="119"/>
      <c r="AP143" s="119"/>
      <c r="AQ143" s="119"/>
      <c r="AR143" s="119"/>
      <c r="AS143" s="119"/>
      <c r="AT143" s="119"/>
      <c r="AU143" s="119"/>
      <c r="AV143" s="119"/>
      <c r="AW143" s="119"/>
      <c r="AX143" s="119"/>
    </row>
    <row r="144" spans="1:51" ht="24.6" x14ac:dyDescent="0.3">
      <c r="H144" s="27"/>
      <c r="I144" s="27"/>
      <c r="J144" s="27"/>
      <c r="M144" s="27"/>
      <c r="N144" s="27"/>
      <c r="O144" s="45" t="s">
        <v>3</v>
      </c>
      <c r="P144" s="120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</row>
    <row r="145" spans="8:52" x14ac:dyDescent="0.3">
      <c r="H145" s="27"/>
      <c r="I145" s="27"/>
      <c r="J145" s="27"/>
      <c r="M145" s="27"/>
      <c r="N145" s="27"/>
      <c r="O145" s="27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  <c r="AN145" s="119"/>
      <c r="AO145" s="119"/>
      <c r="AP145" s="119"/>
      <c r="AQ145" s="119"/>
      <c r="AR145" s="119"/>
      <c r="AS145" s="119"/>
      <c r="AT145" s="119"/>
      <c r="AU145" s="119"/>
      <c r="AV145" s="119"/>
      <c r="AW145" s="119"/>
      <c r="AX145" s="119"/>
    </row>
    <row r="146" spans="8:52" ht="16.8" x14ac:dyDescent="0.3">
      <c r="H146" s="27"/>
      <c r="I146" s="27"/>
      <c r="J146" s="27"/>
      <c r="M146" s="27"/>
      <c r="N146" s="27"/>
      <c r="O146" s="27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  <c r="AS146" s="121"/>
      <c r="AT146" s="121"/>
      <c r="AU146" s="121"/>
      <c r="AV146" s="121"/>
      <c r="AW146" s="121"/>
      <c r="AX146" s="121"/>
    </row>
    <row r="147" spans="8:52" ht="16.8" x14ac:dyDescent="0.3">
      <c r="L147" s="6"/>
      <c r="M147" s="5"/>
      <c r="N147" s="5"/>
      <c r="O147" s="5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  <c r="AS147" s="121"/>
      <c r="AT147" s="121"/>
      <c r="AU147" s="121"/>
      <c r="AV147" s="121"/>
      <c r="AW147" s="121"/>
      <c r="AX147" s="121"/>
    </row>
    <row r="148" spans="8:52" ht="16.5" customHeight="1" x14ac:dyDescent="0.3">
      <c r="O148" s="51">
        <f>+O149+$O$192</f>
        <v>90</v>
      </c>
      <c r="P148" s="122" t="str">
        <f t="shared" ref="P148:Y149" si="1009">+IF(AND($O$192+P$194&gt;$O148,$O$192+P$194&lt;=$O147),P$194,"")</f>
        <v/>
      </c>
      <c r="Q148" s="122" t="str">
        <f t="shared" si="1009"/>
        <v/>
      </c>
      <c r="R148" s="122" t="str">
        <f t="shared" si="1009"/>
        <v/>
      </c>
      <c r="S148" s="122" t="str">
        <f t="shared" si="1009"/>
        <v/>
      </c>
      <c r="T148" s="122" t="str">
        <f t="shared" si="1009"/>
        <v/>
      </c>
      <c r="U148" s="122" t="str">
        <f t="shared" si="1009"/>
        <v/>
      </c>
      <c r="V148" s="122" t="str">
        <f t="shared" si="1009"/>
        <v/>
      </c>
      <c r="W148" s="122" t="str">
        <f t="shared" si="1009"/>
        <v/>
      </c>
      <c r="X148" s="122" t="str">
        <f t="shared" si="1009"/>
        <v/>
      </c>
      <c r="Y148" s="122" t="str">
        <f t="shared" si="1009"/>
        <v/>
      </c>
      <c r="Z148" s="122" t="str">
        <f t="shared" ref="Z148:AI149" si="1010">+IF(AND($O$192+Z$194&gt;$O148,$O$192+Z$194&lt;=$O147),Z$194,"")</f>
        <v/>
      </c>
      <c r="AA148" s="122" t="str">
        <f t="shared" si="1010"/>
        <v/>
      </c>
      <c r="AB148" s="122" t="str">
        <f t="shared" si="1010"/>
        <v/>
      </c>
      <c r="AC148" s="122" t="str">
        <f t="shared" si="1010"/>
        <v/>
      </c>
      <c r="AD148" s="122" t="str">
        <f t="shared" si="1010"/>
        <v/>
      </c>
      <c r="AE148" s="122" t="str">
        <f t="shared" si="1010"/>
        <v/>
      </c>
      <c r="AF148" s="122" t="str">
        <f t="shared" si="1010"/>
        <v/>
      </c>
      <c r="AG148" s="122" t="str">
        <f t="shared" si="1010"/>
        <v/>
      </c>
      <c r="AH148" s="122" t="str">
        <f t="shared" si="1010"/>
        <v/>
      </c>
      <c r="AI148" s="122" t="str">
        <f t="shared" si="1010"/>
        <v/>
      </c>
      <c r="AJ148" s="122" t="str">
        <f t="shared" ref="AJ148:AS149" si="1011">+IF(AND($O$192+AJ$194&gt;$O148,$O$192+AJ$194&lt;=$O147),AJ$194,"")</f>
        <v/>
      </c>
      <c r="AK148" s="122" t="str">
        <f t="shared" si="1011"/>
        <v/>
      </c>
      <c r="AL148" s="122" t="str">
        <f t="shared" si="1011"/>
        <v/>
      </c>
      <c r="AM148" s="122" t="str">
        <f t="shared" si="1011"/>
        <v/>
      </c>
      <c r="AN148" s="122" t="str">
        <f t="shared" si="1011"/>
        <v/>
      </c>
      <c r="AO148" s="122" t="str">
        <f t="shared" si="1011"/>
        <v/>
      </c>
      <c r="AP148" s="122" t="str">
        <f t="shared" si="1011"/>
        <v/>
      </c>
      <c r="AQ148" s="122" t="str">
        <f t="shared" si="1011"/>
        <v/>
      </c>
      <c r="AR148" s="122" t="str">
        <f t="shared" si="1011"/>
        <v/>
      </c>
      <c r="AS148" s="122" t="str">
        <f t="shared" si="1011"/>
        <v/>
      </c>
      <c r="AT148" s="122" t="str">
        <f t="shared" ref="AT148:AX149" si="1012">+IF(AND($O$192+AT$194&gt;$O148,$O$192+AT$194&lt;=$O147),AT$194,"")</f>
        <v/>
      </c>
      <c r="AU148" s="122" t="str">
        <f t="shared" si="1012"/>
        <v/>
      </c>
      <c r="AV148" s="122" t="str">
        <f t="shared" si="1012"/>
        <v/>
      </c>
      <c r="AW148" s="122" t="str">
        <f t="shared" si="1012"/>
        <v/>
      </c>
      <c r="AX148" s="122" t="str">
        <f t="shared" si="1012"/>
        <v/>
      </c>
      <c r="AY148" s="10"/>
      <c r="AZ148" s="10"/>
    </row>
    <row r="149" spans="8:52" ht="16.5" customHeight="1" x14ac:dyDescent="0.3">
      <c r="L149" s="6"/>
      <c r="M149" s="5"/>
      <c r="N149" s="5"/>
      <c r="O149" s="51">
        <f>+O150+$O$192</f>
        <v>88</v>
      </c>
      <c r="P149" s="122" t="str">
        <f t="shared" si="1009"/>
        <v/>
      </c>
      <c r="Q149" s="122" t="str">
        <f t="shared" si="1009"/>
        <v/>
      </c>
      <c r="R149" s="122" t="str">
        <f t="shared" si="1009"/>
        <v/>
      </c>
      <c r="S149" s="122" t="str">
        <f t="shared" si="1009"/>
        <v/>
      </c>
      <c r="T149" s="122" t="str">
        <f t="shared" si="1009"/>
        <v/>
      </c>
      <c r="U149" s="122" t="str">
        <f t="shared" si="1009"/>
        <v/>
      </c>
      <c r="V149" s="122" t="str">
        <f t="shared" si="1009"/>
        <v/>
      </c>
      <c r="W149" s="122" t="str">
        <f t="shared" si="1009"/>
        <v/>
      </c>
      <c r="X149" s="122" t="str">
        <f t="shared" si="1009"/>
        <v/>
      </c>
      <c r="Y149" s="122" t="str">
        <f t="shared" si="1009"/>
        <v/>
      </c>
      <c r="Z149" s="123" t="str">
        <f t="shared" si="1010"/>
        <v/>
      </c>
      <c r="AA149" s="122" t="str">
        <f t="shared" si="1010"/>
        <v/>
      </c>
      <c r="AB149" s="123" t="str">
        <f t="shared" si="1010"/>
        <v/>
      </c>
      <c r="AC149" s="122" t="str">
        <f t="shared" si="1010"/>
        <v/>
      </c>
      <c r="AD149" s="122" t="str">
        <f t="shared" si="1010"/>
        <v/>
      </c>
      <c r="AE149" s="122" t="str">
        <f t="shared" si="1010"/>
        <v/>
      </c>
      <c r="AF149" s="122" t="str">
        <f t="shared" si="1010"/>
        <v/>
      </c>
      <c r="AG149" s="122" t="str">
        <f t="shared" si="1010"/>
        <v/>
      </c>
      <c r="AH149" s="122" t="str">
        <f t="shared" si="1010"/>
        <v/>
      </c>
      <c r="AI149" s="122" t="str">
        <f t="shared" si="1010"/>
        <v/>
      </c>
      <c r="AJ149" s="122" t="str">
        <f t="shared" si="1011"/>
        <v/>
      </c>
      <c r="AK149" s="122" t="str">
        <f t="shared" si="1011"/>
        <v/>
      </c>
      <c r="AL149" s="122" t="str">
        <f t="shared" si="1011"/>
        <v/>
      </c>
      <c r="AM149" s="122" t="str">
        <f t="shared" si="1011"/>
        <v/>
      </c>
      <c r="AN149" s="122" t="str">
        <f t="shared" si="1011"/>
        <v/>
      </c>
      <c r="AO149" s="122" t="str">
        <f t="shared" si="1011"/>
        <v/>
      </c>
      <c r="AP149" s="122" t="str">
        <f t="shared" si="1011"/>
        <v/>
      </c>
      <c r="AQ149" s="122" t="str">
        <f t="shared" si="1011"/>
        <v/>
      </c>
      <c r="AR149" s="122" t="str">
        <f t="shared" si="1011"/>
        <v/>
      </c>
      <c r="AS149" s="122" t="str">
        <f t="shared" si="1011"/>
        <v/>
      </c>
      <c r="AT149" s="122" t="str">
        <f t="shared" si="1012"/>
        <v/>
      </c>
      <c r="AU149" s="122" t="str">
        <f t="shared" si="1012"/>
        <v/>
      </c>
      <c r="AV149" s="122" t="str">
        <f t="shared" si="1012"/>
        <v/>
      </c>
      <c r="AW149" s="122" t="str">
        <f t="shared" si="1012"/>
        <v/>
      </c>
      <c r="AX149" s="122" t="str">
        <f t="shared" si="1012"/>
        <v/>
      </c>
      <c r="AY149" s="10"/>
      <c r="AZ149" s="10"/>
    </row>
    <row r="150" spans="8:52" ht="16.5" customHeight="1" x14ac:dyDescent="0.3">
      <c r="L150" s="6"/>
      <c r="M150" s="5"/>
      <c r="N150" s="5"/>
      <c r="O150" s="51">
        <f>+O151+$O$192</f>
        <v>86</v>
      </c>
      <c r="P150" s="131"/>
      <c r="Q150" s="131" t="str">
        <f t="shared" ref="Q150:Q192" si="1013">+IF(AND($O$192+Q$194&gt;$O150,$O$192+Q$194&lt;=$O149),Q$194,"")</f>
        <v/>
      </c>
      <c r="R150" s="131" t="str">
        <f t="shared" ref="R150:R192" si="1014">+IF(AND($O$192+R$194&gt;$O150,$O$192+R$194&lt;=$O149),R$194,"")</f>
        <v/>
      </c>
      <c r="S150" s="131" t="str">
        <f t="shared" ref="S150:S192" si="1015">+IF(AND($O$192+S$194&gt;$O150,$O$192+S$194&lt;=$O149),S$194,"")</f>
        <v/>
      </c>
      <c r="T150" s="131" t="str">
        <f t="shared" ref="T150:T192" si="1016">+IF(AND($O$192+T$194&gt;$O150,$O$192+T$194&lt;=$O149),T$194,"")</f>
        <v/>
      </c>
      <c r="U150" s="131" t="str">
        <f t="shared" ref="U150:U192" si="1017">+IF(AND($O$192+U$194&gt;$O150,$O$192+U$194&lt;=$O149),U$194,"")</f>
        <v/>
      </c>
      <c r="V150" s="131" t="str">
        <f t="shared" ref="V150:V192" si="1018">+IF(AND($O$192+V$194&gt;$O150,$O$192+V$194&lt;=$O149),V$194,"")</f>
        <v/>
      </c>
      <c r="W150" s="131" t="str">
        <f t="shared" ref="W150:W192" si="1019">+IF(AND($O$192+W$194&gt;$O150,$O$192+W$194&lt;=$O149),W$194,"")</f>
        <v/>
      </c>
      <c r="X150" s="131" t="str">
        <f t="shared" ref="X150:X192" si="1020">+IF(AND($O$192+X$194&gt;$O150,$O$192+X$194&lt;=$O149),X$194,"")</f>
        <v/>
      </c>
      <c r="Y150" s="131" t="str">
        <f t="shared" ref="Y150:Y192" si="1021">+IF(AND($O$192+Y$194&gt;$O150,$O$192+Y$194&lt;=$O149),Y$194,"")</f>
        <v/>
      </c>
      <c r="Z150" s="131" t="str">
        <f t="shared" ref="Z150:Z192" si="1022">+IF(AND($O$192+Z$194&gt;$O150,$O$192+Z$194&lt;=$O149),Z$194,"")</f>
        <v/>
      </c>
      <c r="AA150" s="131" t="str">
        <f t="shared" ref="AA150:AA192" si="1023">+IF(AND($O$192+AA$194&gt;$O150,$O$192+AA$194&lt;=$O149),AA$194,"")</f>
        <v/>
      </c>
      <c r="AB150" s="131" t="str">
        <f t="shared" ref="AB150:AB192" si="1024">+IF(AND($O$192+AB$194&gt;$O150,$O$192+AB$194&lt;=$O149),AB$194,"")</f>
        <v/>
      </c>
      <c r="AC150" s="131" t="str">
        <f t="shared" ref="AC150:AC192" si="1025">+IF(AND($O$192+AC$194&gt;$O150,$O$192+AC$194&lt;=$O149),AC$194,"")</f>
        <v/>
      </c>
      <c r="AD150" s="131" t="str">
        <f t="shared" ref="AD150:AD192" si="1026">+IF(AND($O$192+AD$194&gt;$O150,$O$192+AD$194&lt;=$O149),AD$194,"")</f>
        <v/>
      </c>
      <c r="AE150" s="131" t="str">
        <f t="shared" ref="AE150:AE192" si="1027">+IF(AND($O$192+AE$194&gt;$O150,$O$192+AE$194&lt;=$O149),AE$194,"")</f>
        <v/>
      </c>
      <c r="AF150" s="131" t="str">
        <f t="shared" ref="AF150:AF192" si="1028">+IF(AND($O$192+AF$194&gt;$O150,$O$192+AF$194&lt;=$O149),AF$194,"")</f>
        <v/>
      </c>
      <c r="AG150" s="131" t="str">
        <f t="shared" ref="AG150:AG192" si="1029">+IF(AND($O$192+AG$194&gt;$O150,$O$192+AG$194&lt;=$O149),AG$194,"")</f>
        <v/>
      </c>
      <c r="AH150" s="131" t="str">
        <f t="shared" ref="AH150:AH192" si="1030">+IF(AND($O$192+AH$194&gt;$O150,$O$192+AH$194&lt;=$O149),AH$194,"")</f>
        <v/>
      </c>
      <c r="AI150" s="131" t="str">
        <f t="shared" ref="AI150:AI192" si="1031">+IF(AND($O$192+AI$194&gt;$O150,$O$192+AI$194&lt;=$O149),AI$194,"")</f>
        <v/>
      </c>
      <c r="AJ150" s="131" t="str">
        <f t="shared" ref="AJ150:AJ192" si="1032">+IF(AND($O$192+AJ$194&gt;$O150,$O$192+AJ$194&lt;=$O149),AJ$194,"")</f>
        <v/>
      </c>
      <c r="AK150" s="131" t="str">
        <f t="shared" ref="AK150:AK192" si="1033">+IF(AND($O$192+AK$194&gt;$O150,$O$192+AK$194&lt;=$O149),AK$194,"")</f>
        <v/>
      </c>
      <c r="AL150" s="131" t="str">
        <f t="shared" ref="AL150:AL192" si="1034">+IF(AND($O$192+AL$194&gt;$O150,$O$192+AL$194&lt;=$O149),AL$194,"")</f>
        <v/>
      </c>
      <c r="AM150" s="131" t="str">
        <f t="shared" ref="AM150:AM192" si="1035">+IF(AND($O$192+AM$194&gt;$O150,$O$192+AM$194&lt;=$O149),AM$194,"")</f>
        <v/>
      </c>
      <c r="AN150" s="131" t="str">
        <f t="shared" ref="AN150:AN192" si="1036">+IF(AND($O$192+AN$194&gt;$O150,$O$192+AN$194&lt;=$O149),AN$194,"")</f>
        <v/>
      </c>
      <c r="AO150" s="131" t="str">
        <f t="shared" ref="AO150:AO192" si="1037">+IF(AND($O$192+AO$194&gt;$O150,$O$192+AO$194&lt;=$O149),AO$194,"")</f>
        <v/>
      </c>
      <c r="AP150" s="131" t="str">
        <f t="shared" ref="AP150:AP192" si="1038">+IF(AND($O$192+AP$194&gt;$O150,$O$192+AP$194&lt;=$O149),AP$194,"")</f>
        <v/>
      </c>
      <c r="AQ150" s="131" t="str">
        <f t="shared" ref="AQ150:AQ192" si="1039">+IF(AND($O$192+AQ$194&gt;$O150,$O$192+AQ$194&lt;=$O149),AQ$194,"")</f>
        <v/>
      </c>
      <c r="AR150" s="131" t="str">
        <f t="shared" ref="AR150:AR192" si="1040">+IF(AND($O$192+AR$194&gt;$O150,$O$192+AR$194&lt;=$O149),AR$194,"")</f>
        <v/>
      </c>
      <c r="AS150" s="131" t="str">
        <f t="shared" ref="AS150:AS192" si="1041">+IF(AND($O$192+AS$194&gt;$O150,$O$192+AS$194&lt;=$O149),AS$194,"")</f>
        <v/>
      </c>
      <c r="AT150" s="131" t="str">
        <f t="shared" ref="AT150:AT192" si="1042">+IF(AND($O$192+AT$194&gt;$O150,$O$192+AT$194&lt;=$O149),AT$194,"")</f>
        <v/>
      </c>
      <c r="AU150" s="131" t="str">
        <f t="shared" ref="AU150:AU192" si="1043">+IF(AND($O$192+AU$194&gt;$O150,$O$192+AU$194&lt;=$O149),AU$194,"")</f>
        <v/>
      </c>
      <c r="AV150" s="131" t="str">
        <f t="shared" ref="AV150:AV192" si="1044">+IF(AND($O$192+AV$194&gt;$O150,$O$192+AV$194&lt;=$O149),AV$194,"")</f>
        <v/>
      </c>
      <c r="AW150" s="131" t="str">
        <f t="shared" ref="AW150:AW192" si="1045">+IF(AND($O$192+AW$194&gt;$O150,$O$192+AW$194&lt;=$O149),AW$194,"")</f>
        <v/>
      </c>
      <c r="AX150" s="131" t="str">
        <f t="shared" ref="AX150:AX192" si="1046">+IF(AND($O$192+AX$194&gt;$O150,$O$192+AX$194&lt;=$O149),AX$194,"")</f>
        <v/>
      </c>
      <c r="AY150" s="13"/>
      <c r="AZ150" s="10"/>
    </row>
    <row r="151" spans="8:52" ht="16.5" customHeight="1" x14ac:dyDescent="0.3">
      <c r="L151" s="6"/>
      <c r="M151" s="5"/>
      <c r="N151" s="5"/>
      <c r="O151" s="51">
        <f>+O152+$O$192</f>
        <v>84</v>
      </c>
      <c r="P151" s="131"/>
      <c r="Q151" s="131" t="str">
        <f t="shared" si="1013"/>
        <v/>
      </c>
      <c r="R151" s="131" t="str">
        <f t="shared" si="1014"/>
        <v/>
      </c>
      <c r="S151" s="131" t="str">
        <f t="shared" si="1015"/>
        <v/>
      </c>
      <c r="T151" s="131" t="str">
        <f t="shared" si="1016"/>
        <v/>
      </c>
      <c r="U151" s="131" t="str">
        <f t="shared" si="1017"/>
        <v/>
      </c>
      <c r="V151" s="131" t="str">
        <f t="shared" si="1018"/>
        <v/>
      </c>
      <c r="W151" s="131" t="str">
        <f t="shared" si="1019"/>
        <v/>
      </c>
      <c r="X151" s="131" t="str">
        <f t="shared" si="1020"/>
        <v/>
      </c>
      <c r="Y151" s="131" t="str">
        <f t="shared" si="1021"/>
        <v/>
      </c>
      <c r="Z151" s="131" t="str">
        <f t="shared" si="1022"/>
        <v/>
      </c>
      <c r="AA151" s="131" t="str">
        <f t="shared" si="1023"/>
        <v/>
      </c>
      <c r="AB151" s="131">
        <f t="shared" si="1024"/>
        <v>84</v>
      </c>
      <c r="AC151" s="131" t="str">
        <f t="shared" si="1025"/>
        <v/>
      </c>
      <c r="AD151" s="131" t="str">
        <f t="shared" si="1026"/>
        <v/>
      </c>
      <c r="AE151" s="131" t="str">
        <f t="shared" si="1027"/>
        <v/>
      </c>
      <c r="AF151" s="131" t="str">
        <f t="shared" si="1028"/>
        <v/>
      </c>
      <c r="AG151" s="131" t="str">
        <f t="shared" si="1029"/>
        <v/>
      </c>
      <c r="AH151" s="131" t="str">
        <f t="shared" si="1030"/>
        <v/>
      </c>
      <c r="AI151" s="131" t="str">
        <f t="shared" si="1031"/>
        <v/>
      </c>
      <c r="AJ151" s="131" t="str">
        <f t="shared" si="1032"/>
        <v/>
      </c>
      <c r="AK151" s="131" t="str">
        <f t="shared" si="1033"/>
        <v/>
      </c>
      <c r="AL151" s="131" t="str">
        <f t="shared" si="1034"/>
        <v/>
      </c>
      <c r="AM151" s="131" t="str">
        <f t="shared" si="1035"/>
        <v/>
      </c>
      <c r="AN151" s="131" t="str">
        <f t="shared" si="1036"/>
        <v/>
      </c>
      <c r="AO151" s="131" t="str">
        <f t="shared" si="1037"/>
        <v/>
      </c>
      <c r="AP151" s="131" t="str">
        <f t="shared" si="1038"/>
        <v/>
      </c>
      <c r="AQ151" s="131" t="str">
        <f t="shared" si="1039"/>
        <v/>
      </c>
      <c r="AR151" s="131" t="str">
        <f t="shared" si="1040"/>
        <v/>
      </c>
      <c r="AS151" s="131" t="str">
        <f t="shared" si="1041"/>
        <v/>
      </c>
      <c r="AT151" s="131" t="str">
        <f t="shared" si="1042"/>
        <v/>
      </c>
      <c r="AU151" s="131" t="str">
        <f t="shared" si="1043"/>
        <v/>
      </c>
      <c r="AV151" s="131" t="str">
        <f t="shared" si="1044"/>
        <v/>
      </c>
      <c r="AW151" s="131" t="str">
        <f t="shared" si="1045"/>
        <v/>
      </c>
      <c r="AX151" s="131" t="str">
        <f t="shared" si="1046"/>
        <v/>
      </c>
      <c r="AY151" s="13"/>
      <c r="AZ151" s="10"/>
    </row>
    <row r="152" spans="8:52" ht="16.5" customHeight="1" x14ac:dyDescent="0.3">
      <c r="L152" s="6"/>
      <c r="M152" s="5"/>
      <c r="N152" s="5"/>
      <c r="O152" s="51">
        <f t="shared" ref="O152:O156" si="1047">+O153+$O$192</f>
        <v>82</v>
      </c>
      <c r="P152" s="131"/>
      <c r="Q152" s="131" t="str">
        <f t="shared" si="1013"/>
        <v/>
      </c>
      <c r="R152" s="131" t="str">
        <f t="shared" si="1014"/>
        <v/>
      </c>
      <c r="S152" s="131" t="str">
        <f t="shared" si="1015"/>
        <v/>
      </c>
      <c r="T152" s="131" t="str">
        <f t="shared" si="1016"/>
        <v/>
      </c>
      <c r="U152" s="131" t="str">
        <f t="shared" si="1017"/>
        <v/>
      </c>
      <c r="V152" s="131" t="str">
        <f t="shared" si="1018"/>
        <v/>
      </c>
      <c r="W152" s="131" t="str">
        <f t="shared" si="1019"/>
        <v/>
      </c>
      <c r="X152" s="131" t="str">
        <f t="shared" si="1020"/>
        <v/>
      </c>
      <c r="Y152" s="131" t="str">
        <f t="shared" si="1021"/>
        <v/>
      </c>
      <c r="Z152" s="131" t="str">
        <f t="shared" si="1022"/>
        <v/>
      </c>
      <c r="AA152" s="131" t="str">
        <f t="shared" si="1023"/>
        <v/>
      </c>
      <c r="AB152" s="131" t="str">
        <f t="shared" si="1024"/>
        <v/>
      </c>
      <c r="AC152" s="131" t="str">
        <f t="shared" si="1025"/>
        <v/>
      </c>
      <c r="AD152" s="131" t="str">
        <f t="shared" si="1026"/>
        <v/>
      </c>
      <c r="AE152" s="131" t="str">
        <f t="shared" si="1027"/>
        <v/>
      </c>
      <c r="AF152" s="131" t="str">
        <f t="shared" si="1028"/>
        <v/>
      </c>
      <c r="AG152" s="131" t="str">
        <f t="shared" si="1029"/>
        <v/>
      </c>
      <c r="AH152" s="131" t="str">
        <f t="shared" si="1030"/>
        <v/>
      </c>
      <c r="AI152" s="131" t="str">
        <f t="shared" si="1031"/>
        <v/>
      </c>
      <c r="AJ152" s="131" t="str">
        <f t="shared" si="1032"/>
        <v/>
      </c>
      <c r="AK152" s="131" t="str">
        <f t="shared" si="1033"/>
        <v/>
      </c>
      <c r="AL152" s="131" t="str">
        <f t="shared" si="1034"/>
        <v/>
      </c>
      <c r="AM152" s="131" t="str">
        <f t="shared" si="1035"/>
        <v/>
      </c>
      <c r="AN152" s="131" t="str">
        <f t="shared" si="1036"/>
        <v/>
      </c>
      <c r="AO152" s="131" t="str">
        <f t="shared" si="1037"/>
        <v/>
      </c>
      <c r="AP152" s="131" t="str">
        <f t="shared" si="1038"/>
        <v/>
      </c>
      <c r="AQ152" s="131" t="str">
        <f t="shared" si="1039"/>
        <v/>
      </c>
      <c r="AR152" s="131" t="str">
        <f t="shared" si="1040"/>
        <v/>
      </c>
      <c r="AS152" s="131" t="str">
        <f t="shared" si="1041"/>
        <v/>
      </c>
      <c r="AT152" s="131" t="str">
        <f t="shared" si="1042"/>
        <v/>
      </c>
      <c r="AU152" s="131" t="str">
        <f t="shared" si="1043"/>
        <v/>
      </c>
      <c r="AV152" s="131" t="str">
        <f t="shared" si="1044"/>
        <v/>
      </c>
      <c r="AW152" s="131" t="str">
        <f t="shared" si="1045"/>
        <v/>
      </c>
      <c r="AX152" s="131" t="str">
        <f t="shared" si="1046"/>
        <v/>
      </c>
      <c r="AY152" s="13"/>
      <c r="AZ152" s="10"/>
    </row>
    <row r="153" spans="8:52" ht="16.5" customHeight="1" x14ac:dyDescent="0.3">
      <c r="L153" s="6"/>
      <c r="M153" s="5"/>
      <c r="N153" s="5"/>
      <c r="O153" s="51">
        <f t="shared" si="1047"/>
        <v>80</v>
      </c>
      <c r="P153" s="131"/>
      <c r="Q153" s="131" t="str">
        <f t="shared" si="1013"/>
        <v/>
      </c>
      <c r="R153" s="131" t="str">
        <f t="shared" si="1014"/>
        <v/>
      </c>
      <c r="S153" s="131" t="str">
        <f t="shared" si="1015"/>
        <v/>
      </c>
      <c r="T153" s="131" t="str">
        <f t="shared" si="1016"/>
        <v/>
      </c>
      <c r="U153" s="131" t="str">
        <f t="shared" si="1017"/>
        <v/>
      </c>
      <c r="V153" s="131" t="str">
        <f t="shared" si="1018"/>
        <v/>
      </c>
      <c r="W153" s="131" t="str">
        <f t="shared" si="1019"/>
        <v/>
      </c>
      <c r="X153" s="131" t="str">
        <f t="shared" si="1020"/>
        <v/>
      </c>
      <c r="Y153" s="131" t="str">
        <f t="shared" si="1021"/>
        <v/>
      </c>
      <c r="Z153" s="131" t="str">
        <f t="shared" si="1022"/>
        <v/>
      </c>
      <c r="AA153" s="131" t="str">
        <f t="shared" si="1023"/>
        <v/>
      </c>
      <c r="AB153" s="131" t="str">
        <f t="shared" si="1024"/>
        <v/>
      </c>
      <c r="AC153" s="131" t="str">
        <f t="shared" si="1025"/>
        <v/>
      </c>
      <c r="AD153" s="131" t="str">
        <f t="shared" si="1026"/>
        <v/>
      </c>
      <c r="AE153" s="131" t="str">
        <f t="shared" si="1027"/>
        <v/>
      </c>
      <c r="AF153" s="131" t="str">
        <f t="shared" si="1028"/>
        <v/>
      </c>
      <c r="AG153" s="131" t="str">
        <f t="shared" si="1029"/>
        <v/>
      </c>
      <c r="AH153" s="131" t="str">
        <f t="shared" si="1030"/>
        <v/>
      </c>
      <c r="AI153" s="131" t="str">
        <f t="shared" si="1031"/>
        <v/>
      </c>
      <c r="AJ153" s="131" t="str">
        <f t="shared" si="1032"/>
        <v/>
      </c>
      <c r="AK153" s="131" t="str">
        <f t="shared" si="1033"/>
        <v/>
      </c>
      <c r="AL153" s="131" t="str">
        <f t="shared" si="1034"/>
        <v/>
      </c>
      <c r="AM153" s="131" t="str">
        <f t="shared" si="1035"/>
        <v/>
      </c>
      <c r="AN153" s="131" t="str">
        <f t="shared" si="1036"/>
        <v/>
      </c>
      <c r="AO153" s="131" t="str">
        <f t="shared" si="1037"/>
        <v/>
      </c>
      <c r="AP153" s="131" t="str">
        <f t="shared" si="1038"/>
        <v/>
      </c>
      <c r="AQ153" s="131" t="str">
        <f t="shared" si="1039"/>
        <v/>
      </c>
      <c r="AR153" s="131" t="str">
        <f t="shared" si="1040"/>
        <v/>
      </c>
      <c r="AS153" s="131" t="str">
        <f t="shared" si="1041"/>
        <v/>
      </c>
      <c r="AT153" s="131" t="str">
        <f t="shared" si="1042"/>
        <v/>
      </c>
      <c r="AU153" s="131" t="str">
        <f t="shared" si="1043"/>
        <v/>
      </c>
      <c r="AV153" s="131" t="str">
        <f t="shared" si="1044"/>
        <v/>
      </c>
      <c r="AW153" s="131" t="str">
        <f t="shared" si="1045"/>
        <v/>
      </c>
      <c r="AX153" s="131" t="str">
        <f t="shared" si="1046"/>
        <v/>
      </c>
      <c r="AY153" s="13"/>
      <c r="AZ153" s="10"/>
    </row>
    <row r="154" spans="8:52" ht="16.5" customHeight="1" x14ac:dyDescent="0.3">
      <c r="L154" s="6"/>
      <c r="M154" s="5"/>
      <c r="N154" s="5"/>
      <c r="O154" s="51">
        <f t="shared" si="1047"/>
        <v>78</v>
      </c>
      <c r="P154" s="131"/>
      <c r="Q154" s="131" t="str">
        <f t="shared" si="1013"/>
        <v/>
      </c>
      <c r="R154" s="131" t="str">
        <f t="shared" si="1014"/>
        <v/>
      </c>
      <c r="S154" s="131" t="str">
        <f t="shared" si="1015"/>
        <v/>
      </c>
      <c r="T154" s="131" t="str">
        <f t="shared" si="1016"/>
        <v/>
      </c>
      <c r="U154" s="131" t="str">
        <f t="shared" si="1017"/>
        <v/>
      </c>
      <c r="V154" s="131" t="str">
        <f t="shared" si="1018"/>
        <v/>
      </c>
      <c r="W154" s="131" t="str">
        <f t="shared" si="1019"/>
        <v/>
      </c>
      <c r="X154" s="131" t="str">
        <f t="shared" si="1020"/>
        <v/>
      </c>
      <c r="Y154" s="131" t="str">
        <f t="shared" si="1021"/>
        <v/>
      </c>
      <c r="Z154" s="131" t="str">
        <f t="shared" si="1022"/>
        <v/>
      </c>
      <c r="AA154" s="131" t="str">
        <f t="shared" si="1023"/>
        <v/>
      </c>
      <c r="AB154" s="131" t="str">
        <f t="shared" si="1024"/>
        <v/>
      </c>
      <c r="AC154" s="131" t="str">
        <f t="shared" si="1025"/>
        <v/>
      </c>
      <c r="AD154" s="131" t="str">
        <f t="shared" si="1026"/>
        <v/>
      </c>
      <c r="AE154" s="131" t="str">
        <f t="shared" si="1027"/>
        <v/>
      </c>
      <c r="AF154" s="131" t="str">
        <f t="shared" si="1028"/>
        <v/>
      </c>
      <c r="AG154" s="131" t="str">
        <f t="shared" si="1029"/>
        <v/>
      </c>
      <c r="AH154" s="131" t="str">
        <f t="shared" si="1030"/>
        <v/>
      </c>
      <c r="AI154" s="131" t="str">
        <f t="shared" si="1031"/>
        <v/>
      </c>
      <c r="AJ154" s="131" t="str">
        <f t="shared" si="1032"/>
        <v/>
      </c>
      <c r="AK154" s="131" t="str">
        <f t="shared" si="1033"/>
        <v/>
      </c>
      <c r="AL154" s="131" t="str">
        <f t="shared" si="1034"/>
        <v/>
      </c>
      <c r="AM154" s="131" t="str">
        <f t="shared" si="1035"/>
        <v/>
      </c>
      <c r="AN154" s="131" t="str">
        <f t="shared" si="1036"/>
        <v/>
      </c>
      <c r="AO154" s="131" t="str">
        <f t="shared" si="1037"/>
        <v/>
      </c>
      <c r="AP154" s="131" t="str">
        <f t="shared" si="1038"/>
        <v/>
      </c>
      <c r="AQ154" s="131" t="str">
        <f t="shared" si="1039"/>
        <v/>
      </c>
      <c r="AR154" s="131" t="str">
        <f t="shared" si="1040"/>
        <v/>
      </c>
      <c r="AS154" s="131" t="str">
        <f t="shared" si="1041"/>
        <v/>
      </c>
      <c r="AT154" s="131" t="str">
        <f t="shared" si="1042"/>
        <v/>
      </c>
      <c r="AU154" s="131" t="str">
        <f t="shared" si="1043"/>
        <v/>
      </c>
      <c r="AV154" s="131" t="str">
        <f t="shared" si="1044"/>
        <v/>
      </c>
      <c r="AW154" s="131" t="str">
        <f t="shared" si="1045"/>
        <v/>
      </c>
      <c r="AX154" s="131" t="str">
        <f t="shared" si="1046"/>
        <v/>
      </c>
      <c r="AY154" s="13"/>
      <c r="AZ154" s="10"/>
    </row>
    <row r="155" spans="8:52" ht="16.5" customHeight="1" x14ac:dyDescent="0.3">
      <c r="L155" s="6"/>
      <c r="M155" s="5"/>
      <c r="N155" s="5"/>
      <c r="O155" s="51">
        <f t="shared" si="1047"/>
        <v>76</v>
      </c>
      <c r="P155" s="131"/>
      <c r="Q155" s="131" t="str">
        <f t="shared" si="1013"/>
        <v/>
      </c>
      <c r="R155" s="131" t="str">
        <f t="shared" si="1014"/>
        <v/>
      </c>
      <c r="S155" s="131" t="str">
        <f t="shared" si="1015"/>
        <v/>
      </c>
      <c r="T155" s="131" t="str">
        <f t="shared" si="1016"/>
        <v/>
      </c>
      <c r="U155" s="131" t="str">
        <f t="shared" si="1017"/>
        <v/>
      </c>
      <c r="V155" s="131" t="str">
        <f t="shared" si="1018"/>
        <v/>
      </c>
      <c r="W155" s="131" t="str">
        <f t="shared" si="1019"/>
        <v/>
      </c>
      <c r="X155" s="131" t="str">
        <f t="shared" si="1020"/>
        <v/>
      </c>
      <c r="Y155" s="131" t="str">
        <f t="shared" si="1021"/>
        <v/>
      </c>
      <c r="Z155" s="131" t="str">
        <f t="shared" si="1022"/>
        <v/>
      </c>
      <c r="AA155" s="131" t="str">
        <f t="shared" si="1023"/>
        <v/>
      </c>
      <c r="AB155" s="131" t="str">
        <f t="shared" si="1024"/>
        <v/>
      </c>
      <c r="AC155" s="131" t="str">
        <f t="shared" si="1025"/>
        <v/>
      </c>
      <c r="AD155" s="131">
        <f t="shared" si="1026"/>
        <v>76</v>
      </c>
      <c r="AE155" s="131" t="str">
        <f t="shared" si="1027"/>
        <v/>
      </c>
      <c r="AF155" s="131" t="str">
        <f t="shared" si="1028"/>
        <v/>
      </c>
      <c r="AG155" s="131" t="str">
        <f t="shared" si="1029"/>
        <v/>
      </c>
      <c r="AH155" s="131" t="str">
        <f t="shared" si="1030"/>
        <v/>
      </c>
      <c r="AI155" s="131" t="str">
        <f t="shared" si="1031"/>
        <v/>
      </c>
      <c r="AJ155" s="131" t="str">
        <f t="shared" si="1032"/>
        <v/>
      </c>
      <c r="AK155" s="131" t="str">
        <f t="shared" si="1033"/>
        <v/>
      </c>
      <c r="AL155" s="131" t="str">
        <f t="shared" si="1034"/>
        <v/>
      </c>
      <c r="AM155" s="131" t="str">
        <f t="shared" si="1035"/>
        <v/>
      </c>
      <c r="AN155" s="131" t="str">
        <f t="shared" si="1036"/>
        <v/>
      </c>
      <c r="AO155" s="131" t="str">
        <f t="shared" si="1037"/>
        <v/>
      </c>
      <c r="AP155" s="131" t="str">
        <f t="shared" si="1038"/>
        <v/>
      </c>
      <c r="AQ155" s="131" t="str">
        <f t="shared" si="1039"/>
        <v/>
      </c>
      <c r="AR155" s="131" t="str">
        <f t="shared" si="1040"/>
        <v/>
      </c>
      <c r="AS155" s="131" t="str">
        <f t="shared" si="1041"/>
        <v/>
      </c>
      <c r="AT155" s="131" t="str">
        <f t="shared" si="1042"/>
        <v/>
      </c>
      <c r="AU155" s="131" t="str">
        <f t="shared" si="1043"/>
        <v/>
      </c>
      <c r="AV155" s="131" t="str">
        <f t="shared" si="1044"/>
        <v/>
      </c>
      <c r="AW155" s="131" t="str">
        <f t="shared" si="1045"/>
        <v/>
      </c>
      <c r="AX155" s="131" t="str">
        <f t="shared" si="1046"/>
        <v/>
      </c>
      <c r="AY155" s="13"/>
      <c r="AZ155" s="10"/>
    </row>
    <row r="156" spans="8:52" ht="16.5" customHeight="1" x14ac:dyDescent="0.3">
      <c r="L156" s="6"/>
      <c r="M156" s="5"/>
      <c r="N156" s="5"/>
      <c r="O156" s="51">
        <f t="shared" si="1047"/>
        <v>74</v>
      </c>
      <c r="P156" s="131"/>
      <c r="Q156" s="131" t="str">
        <f t="shared" si="1013"/>
        <v/>
      </c>
      <c r="R156" s="131" t="str">
        <f t="shared" si="1014"/>
        <v/>
      </c>
      <c r="S156" s="131" t="str">
        <f t="shared" si="1015"/>
        <v/>
      </c>
      <c r="T156" s="131" t="str">
        <f t="shared" si="1016"/>
        <v/>
      </c>
      <c r="U156" s="131" t="str">
        <f t="shared" si="1017"/>
        <v/>
      </c>
      <c r="V156" s="131" t="str">
        <f t="shared" si="1018"/>
        <v/>
      </c>
      <c r="W156" s="131" t="str">
        <f t="shared" si="1019"/>
        <v/>
      </c>
      <c r="X156" s="131" t="str">
        <f t="shared" si="1020"/>
        <v/>
      </c>
      <c r="Y156" s="131" t="str">
        <f t="shared" si="1021"/>
        <v/>
      </c>
      <c r="Z156" s="131" t="str">
        <f t="shared" si="1022"/>
        <v/>
      </c>
      <c r="AA156" s="131" t="str">
        <f t="shared" si="1023"/>
        <v/>
      </c>
      <c r="AB156" s="131" t="str">
        <f t="shared" si="1024"/>
        <v/>
      </c>
      <c r="AC156" s="131" t="str">
        <f t="shared" si="1025"/>
        <v/>
      </c>
      <c r="AD156" s="131" t="str">
        <f t="shared" si="1026"/>
        <v/>
      </c>
      <c r="AE156" s="131" t="str">
        <f t="shared" si="1027"/>
        <v/>
      </c>
      <c r="AF156" s="131" t="str">
        <f t="shared" si="1028"/>
        <v/>
      </c>
      <c r="AG156" s="131" t="str">
        <f t="shared" si="1029"/>
        <v/>
      </c>
      <c r="AH156" s="131" t="str">
        <f t="shared" si="1030"/>
        <v/>
      </c>
      <c r="AI156" s="131" t="str">
        <f t="shared" si="1031"/>
        <v/>
      </c>
      <c r="AJ156" s="131" t="str">
        <f t="shared" si="1032"/>
        <v/>
      </c>
      <c r="AK156" s="131" t="str">
        <f t="shared" si="1033"/>
        <v/>
      </c>
      <c r="AL156" s="131" t="str">
        <f t="shared" si="1034"/>
        <v/>
      </c>
      <c r="AM156" s="131" t="str">
        <f t="shared" si="1035"/>
        <v/>
      </c>
      <c r="AN156" s="131" t="str">
        <f t="shared" si="1036"/>
        <v/>
      </c>
      <c r="AO156" s="131" t="str">
        <f t="shared" si="1037"/>
        <v/>
      </c>
      <c r="AP156" s="131" t="str">
        <f t="shared" si="1038"/>
        <v/>
      </c>
      <c r="AQ156" s="131" t="str">
        <f t="shared" si="1039"/>
        <v/>
      </c>
      <c r="AR156" s="131" t="str">
        <f t="shared" si="1040"/>
        <v/>
      </c>
      <c r="AS156" s="131" t="str">
        <f t="shared" si="1041"/>
        <v/>
      </c>
      <c r="AT156" s="131" t="str">
        <f t="shared" si="1042"/>
        <v/>
      </c>
      <c r="AU156" s="131" t="str">
        <f t="shared" si="1043"/>
        <v/>
      </c>
      <c r="AV156" s="131" t="str">
        <f t="shared" si="1044"/>
        <v/>
      </c>
      <c r="AW156" s="131" t="str">
        <f t="shared" si="1045"/>
        <v/>
      </c>
      <c r="AX156" s="131" t="str">
        <f t="shared" si="1046"/>
        <v/>
      </c>
      <c r="AY156" s="13"/>
      <c r="AZ156" s="10"/>
    </row>
    <row r="157" spans="8:52" ht="16.5" customHeight="1" x14ac:dyDescent="0.3">
      <c r="L157" s="6"/>
      <c r="M157" s="5"/>
      <c r="N157" s="5"/>
      <c r="O157" s="51">
        <f t="shared" ref="O157:O191" si="1048">+O158+$O$192</f>
        <v>72</v>
      </c>
      <c r="P157" s="131" t="str">
        <f>+IF(AND($O$192+P$194&gt;$O157,$O$192+P$194&lt;=$O149),P$194,"")</f>
        <v/>
      </c>
      <c r="Q157" s="131" t="str">
        <f t="shared" si="1013"/>
        <v/>
      </c>
      <c r="R157" s="131" t="str">
        <f t="shared" si="1014"/>
        <v/>
      </c>
      <c r="S157" s="131" t="str">
        <f t="shared" si="1015"/>
        <v/>
      </c>
      <c r="T157" s="131" t="str">
        <f t="shared" si="1016"/>
        <v/>
      </c>
      <c r="U157" s="131" t="str">
        <f t="shared" si="1017"/>
        <v/>
      </c>
      <c r="V157" s="131" t="str">
        <f t="shared" si="1018"/>
        <v/>
      </c>
      <c r="W157" s="131" t="str">
        <f t="shared" si="1019"/>
        <v/>
      </c>
      <c r="X157" s="131" t="str">
        <f t="shared" si="1020"/>
        <v/>
      </c>
      <c r="Y157" s="131" t="str">
        <f t="shared" si="1021"/>
        <v/>
      </c>
      <c r="Z157" s="131" t="str">
        <f t="shared" si="1022"/>
        <v/>
      </c>
      <c r="AA157" s="131">
        <f t="shared" si="1023"/>
        <v>72</v>
      </c>
      <c r="AB157" s="131" t="str">
        <f t="shared" si="1024"/>
        <v/>
      </c>
      <c r="AC157" s="131" t="str">
        <f t="shared" si="1025"/>
        <v/>
      </c>
      <c r="AD157" s="131" t="str">
        <f t="shared" si="1026"/>
        <v/>
      </c>
      <c r="AE157" s="131" t="str">
        <f t="shared" si="1027"/>
        <v/>
      </c>
      <c r="AF157" s="131" t="str">
        <f t="shared" si="1028"/>
        <v/>
      </c>
      <c r="AG157" s="131" t="str">
        <f t="shared" si="1029"/>
        <v/>
      </c>
      <c r="AH157" s="131" t="str">
        <f t="shared" si="1030"/>
        <v/>
      </c>
      <c r="AI157" s="131" t="str">
        <f t="shared" si="1031"/>
        <v/>
      </c>
      <c r="AJ157" s="131" t="str">
        <f t="shared" si="1032"/>
        <v/>
      </c>
      <c r="AK157" s="131" t="str">
        <f t="shared" si="1033"/>
        <v/>
      </c>
      <c r="AL157" s="131" t="str">
        <f t="shared" si="1034"/>
        <v/>
      </c>
      <c r="AM157" s="131" t="str">
        <f t="shared" si="1035"/>
        <v/>
      </c>
      <c r="AN157" s="131" t="str">
        <f t="shared" si="1036"/>
        <v/>
      </c>
      <c r="AO157" s="131" t="str">
        <f t="shared" si="1037"/>
        <v/>
      </c>
      <c r="AP157" s="131" t="str">
        <f t="shared" si="1038"/>
        <v/>
      </c>
      <c r="AQ157" s="131" t="str">
        <f t="shared" si="1039"/>
        <v/>
      </c>
      <c r="AR157" s="131" t="str">
        <f t="shared" si="1040"/>
        <v/>
      </c>
      <c r="AS157" s="131" t="str">
        <f t="shared" si="1041"/>
        <v/>
      </c>
      <c r="AT157" s="131" t="str">
        <f t="shared" si="1042"/>
        <v/>
      </c>
      <c r="AU157" s="131" t="str">
        <f t="shared" si="1043"/>
        <v/>
      </c>
      <c r="AV157" s="131" t="str">
        <f t="shared" si="1044"/>
        <v/>
      </c>
      <c r="AW157" s="131" t="str">
        <f t="shared" si="1045"/>
        <v/>
      </c>
      <c r="AX157" s="131" t="str">
        <f t="shared" si="1046"/>
        <v/>
      </c>
      <c r="AY157" s="13"/>
      <c r="AZ157" s="10"/>
    </row>
    <row r="158" spans="8:52" ht="16.5" customHeight="1" x14ac:dyDescent="0.3">
      <c r="L158" s="6"/>
      <c r="M158" s="5"/>
      <c r="N158" s="5"/>
      <c r="O158" s="51">
        <f t="shared" si="1048"/>
        <v>70</v>
      </c>
      <c r="P158" s="131" t="str">
        <f t="shared" ref="P158:P192" si="1049">+IF(AND($O$192+P$194&gt;$O158,$O$192+P$194&lt;=$O157),P$194,"")</f>
        <v/>
      </c>
      <c r="Q158" s="131" t="str">
        <f t="shared" si="1013"/>
        <v/>
      </c>
      <c r="R158" s="131" t="str">
        <f t="shared" si="1014"/>
        <v/>
      </c>
      <c r="S158" s="131" t="str">
        <f t="shared" si="1015"/>
        <v/>
      </c>
      <c r="T158" s="131" t="str">
        <f t="shared" si="1016"/>
        <v/>
      </c>
      <c r="U158" s="131" t="str">
        <f t="shared" si="1017"/>
        <v/>
      </c>
      <c r="V158" s="131" t="str">
        <f t="shared" si="1018"/>
        <v/>
      </c>
      <c r="W158" s="131" t="str">
        <f t="shared" si="1019"/>
        <v/>
      </c>
      <c r="X158" s="131" t="str">
        <f t="shared" si="1020"/>
        <v/>
      </c>
      <c r="Y158" s="131" t="str">
        <f t="shared" si="1021"/>
        <v/>
      </c>
      <c r="Z158" s="131" t="str">
        <f t="shared" si="1022"/>
        <v/>
      </c>
      <c r="AA158" s="131" t="str">
        <f t="shared" si="1023"/>
        <v/>
      </c>
      <c r="AB158" s="131" t="str">
        <f t="shared" si="1024"/>
        <v/>
      </c>
      <c r="AC158" s="131" t="str">
        <f t="shared" si="1025"/>
        <v/>
      </c>
      <c r="AD158" s="131" t="str">
        <f t="shared" si="1026"/>
        <v/>
      </c>
      <c r="AE158" s="131" t="str">
        <f t="shared" si="1027"/>
        <v/>
      </c>
      <c r="AF158" s="131" t="str">
        <f t="shared" si="1028"/>
        <v/>
      </c>
      <c r="AG158" s="131" t="str">
        <f t="shared" si="1029"/>
        <v/>
      </c>
      <c r="AH158" s="131" t="str">
        <f t="shared" si="1030"/>
        <v/>
      </c>
      <c r="AI158" s="131" t="str">
        <f t="shared" si="1031"/>
        <v/>
      </c>
      <c r="AJ158" s="131" t="str">
        <f t="shared" si="1032"/>
        <v/>
      </c>
      <c r="AK158" s="131" t="str">
        <f t="shared" si="1033"/>
        <v/>
      </c>
      <c r="AL158" s="131" t="str">
        <f t="shared" si="1034"/>
        <v/>
      </c>
      <c r="AM158" s="131" t="str">
        <f t="shared" si="1035"/>
        <v/>
      </c>
      <c r="AN158" s="131" t="str">
        <f t="shared" si="1036"/>
        <v/>
      </c>
      <c r="AO158" s="131" t="str">
        <f t="shared" si="1037"/>
        <v/>
      </c>
      <c r="AP158" s="131" t="str">
        <f t="shared" si="1038"/>
        <v/>
      </c>
      <c r="AQ158" s="131" t="str">
        <f t="shared" si="1039"/>
        <v/>
      </c>
      <c r="AR158" s="131" t="str">
        <f t="shared" si="1040"/>
        <v/>
      </c>
      <c r="AS158" s="131" t="str">
        <f t="shared" si="1041"/>
        <v/>
      </c>
      <c r="AT158" s="131" t="str">
        <f t="shared" si="1042"/>
        <v/>
      </c>
      <c r="AU158" s="131" t="str">
        <f t="shared" si="1043"/>
        <v/>
      </c>
      <c r="AV158" s="131" t="str">
        <f t="shared" si="1044"/>
        <v/>
      </c>
      <c r="AW158" s="131" t="str">
        <f t="shared" si="1045"/>
        <v/>
      </c>
      <c r="AX158" s="131" t="str">
        <f t="shared" si="1046"/>
        <v/>
      </c>
      <c r="AY158" s="13"/>
      <c r="AZ158" s="10"/>
    </row>
    <row r="159" spans="8:52" ht="16.5" customHeight="1" x14ac:dyDescent="0.3">
      <c r="L159" s="6"/>
      <c r="M159" s="5"/>
      <c r="N159" s="5"/>
      <c r="O159" s="51">
        <f t="shared" si="1048"/>
        <v>68</v>
      </c>
      <c r="P159" s="131" t="str">
        <f t="shared" si="1049"/>
        <v/>
      </c>
      <c r="Q159" s="131" t="str">
        <f t="shared" si="1013"/>
        <v/>
      </c>
      <c r="R159" s="131" t="str">
        <f t="shared" si="1014"/>
        <v/>
      </c>
      <c r="S159" s="131" t="str">
        <f t="shared" si="1015"/>
        <v/>
      </c>
      <c r="T159" s="131" t="str">
        <f t="shared" si="1016"/>
        <v/>
      </c>
      <c r="U159" s="131" t="str">
        <f t="shared" si="1017"/>
        <v/>
      </c>
      <c r="V159" s="131" t="str">
        <f t="shared" si="1018"/>
        <v/>
      </c>
      <c r="W159" s="131" t="str">
        <f t="shared" si="1019"/>
        <v/>
      </c>
      <c r="X159" s="131" t="str">
        <f t="shared" si="1020"/>
        <v/>
      </c>
      <c r="Y159" s="131" t="str">
        <f t="shared" si="1021"/>
        <v/>
      </c>
      <c r="Z159" s="131" t="str">
        <f t="shared" si="1022"/>
        <v/>
      </c>
      <c r="AA159" s="131" t="str">
        <f t="shared" si="1023"/>
        <v/>
      </c>
      <c r="AB159" s="131" t="str">
        <f t="shared" si="1024"/>
        <v/>
      </c>
      <c r="AC159" s="131" t="str">
        <f t="shared" si="1025"/>
        <v/>
      </c>
      <c r="AD159" s="131" t="str">
        <f t="shared" si="1026"/>
        <v/>
      </c>
      <c r="AE159" s="131" t="str">
        <f t="shared" si="1027"/>
        <v/>
      </c>
      <c r="AF159" s="131" t="str">
        <f t="shared" si="1028"/>
        <v/>
      </c>
      <c r="AG159" s="131" t="str">
        <f t="shared" si="1029"/>
        <v/>
      </c>
      <c r="AH159" s="131" t="str">
        <f t="shared" si="1030"/>
        <v/>
      </c>
      <c r="AI159" s="131" t="str">
        <f t="shared" si="1031"/>
        <v/>
      </c>
      <c r="AJ159" s="131" t="str">
        <f t="shared" si="1032"/>
        <v/>
      </c>
      <c r="AK159" s="131" t="str">
        <f t="shared" si="1033"/>
        <v/>
      </c>
      <c r="AL159" s="131" t="str">
        <f t="shared" si="1034"/>
        <v/>
      </c>
      <c r="AM159" s="131" t="str">
        <f t="shared" si="1035"/>
        <v/>
      </c>
      <c r="AN159" s="131" t="str">
        <f t="shared" si="1036"/>
        <v/>
      </c>
      <c r="AO159" s="131" t="str">
        <f t="shared" si="1037"/>
        <v/>
      </c>
      <c r="AP159" s="131" t="str">
        <f t="shared" si="1038"/>
        <v/>
      </c>
      <c r="AQ159" s="131" t="str">
        <f t="shared" si="1039"/>
        <v/>
      </c>
      <c r="AR159" s="131" t="str">
        <f t="shared" si="1040"/>
        <v/>
      </c>
      <c r="AS159" s="131" t="str">
        <f t="shared" si="1041"/>
        <v/>
      </c>
      <c r="AT159" s="131" t="str">
        <f t="shared" si="1042"/>
        <v/>
      </c>
      <c r="AU159" s="131" t="str">
        <f t="shared" si="1043"/>
        <v/>
      </c>
      <c r="AV159" s="131" t="str">
        <f t="shared" si="1044"/>
        <v/>
      </c>
      <c r="AW159" s="131" t="str">
        <f t="shared" si="1045"/>
        <v/>
      </c>
      <c r="AX159" s="131" t="str">
        <f t="shared" si="1046"/>
        <v/>
      </c>
      <c r="AY159" s="13"/>
      <c r="AZ159" s="10"/>
    </row>
    <row r="160" spans="8:52" ht="16.5" customHeight="1" x14ac:dyDescent="0.3">
      <c r="L160" s="6"/>
      <c r="M160" s="5"/>
      <c r="N160" s="5"/>
      <c r="O160" s="51">
        <f t="shared" si="1048"/>
        <v>66</v>
      </c>
      <c r="P160" s="131" t="str">
        <f t="shared" si="1049"/>
        <v/>
      </c>
      <c r="Q160" s="131" t="str">
        <f t="shared" si="1013"/>
        <v/>
      </c>
      <c r="R160" s="131" t="str">
        <f t="shared" si="1014"/>
        <v/>
      </c>
      <c r="S160" s="131" t="str">
        <f t="shared" si="1015"/>
        <v/>
      </c>
      <c r="T160" s="131" t="str">
        <f t="shared" si="1016"/>
        <v/>
      </c>
      <c r="U160" s="131" t="str">
        <f t="shared" si="1017"/>
        <v/>
      </c>
      <c r="V160" s="131" t="str">
        <f t="shared" si="1018"/>
        <v/>
      </c>
      <c r="W160" s="131" t="str">
        <f t="shared" si="1019"/>
        <v/>
      </c>
      <c r="X160" s="131" t="str">
        <f t="shared" si="1020"/>
        <v/>
      </c>
      <c r="Y160" s="131" t="str">
        <f t="shared" si="1021"/>
        <v/>
      </c>
      <c r="Z160" s="131" t="str">
        <f t="shared" si="1022"/>
        <v/>
      </c>
      <c r="AA160" s="131" t="str">
        <f t="shared" si="1023"/>
        <v/>
      </c>
      <c r="AB160" s="131" t="str">
        <f t="shared" si="1024"/>
        <v/>
      </c>
      <c r="AC160" s="131" t="str">
        <f t="shared" si="1025"/>
        <v/>
      </c>
      <c r="AD160" s="131" t="str">
        <f t="shared" si="1026"/>
        <v/>
      </c>
      <c r="AE160" s="131" t="str">
        <f t="shared" si="1027"/>
        <v/>
      </c>
      <c r="AF160" s="131" t="str">
        <f t="shared" si="1028"/>
        <v/>
      </c>
      <c r="AG160" s="131" t="str">
        <f t="shared" si="1029"/>
        <v/>
      </c>
      <c r="AH160" s="131" t="str">
        <f t="shared" si="1030"/>
        <v/>
      </c>
      <c r="AI160" s="131" t="str">
        <f t="shared" si="1031"/>
        <v/>
      </c>
      <c r="AJ160" s="131" t="str">
        <f t="shared" si="1032"/>
        <v/>
      </c>
      <c r="AK160" s="131" t="str">
        <f t="shared" si="1033"/>
        <v/>
      </c>
      <c r="AL160" s="131" t="str">
        <f t="shared" si="1034"/>
        <v/>
      </c>
      <c r="AM160" s="131" t="str">
        <f t="shared" si="1035"/>
        <v/>
      </c>
      <c r="AN160" s="131" t="str">
        <f t="shared" si="1036"/>
        <v/>
      </c>
      <c r="AO160" s="131" t="str">
        <f t="shared" si="1037"/>
        <v/>
      </c>
      <c r="AP160" s="131" t="str">
        <f t="shared" si="1038"/>
        <v/>
      </c>
      <c r="AQ160" s="131" t="str">
        <f t="shared" si="1039"/>
        <v/>
      </c>
      <c r="AR160" s="131" t="str">
        <f t="shared" si="1040"/>
        <v/>
      </c>
      <c r="AS160" s="131" t="str">
        <f t="shared" si="1041"/>
        <v/>
      </c>
      <c r="AT160" s="131" t="str">
        <f t="shared" si="1042"/>
        <v/>
      </c>
      <c r="AU160" s="131" t="str">
        <f t="shared" si="1043"/>
        <v/>
      </c>
      <c r="AV160" s="131" t="str">
        <f t="shared" si="1044"/>
        <v/>
      </c>
      <c r="AW160" s="131" t="str">
        <f t="shared" si="1045"/>
        <v/>
      </c>
      <c r="AX160" s="131" t="str">
        <f t="shared" si="1046"/>
        <v/>
      </c>
      <c r="AY160" s="13"/>
      <c r="AZ160" s="10"/>
    </row>
    <row r="161" spans="12:52" ht="16.5" customHeight="1" x14ac:dyDescent="0.3">
      <c r="L161" s="6"/>
      <c r="M161" s="5"/>
      <c r="N161" s="5"/>
      <c r="O161" s="51">
        <f t="shared" si="1048"/>
        <v>64</v>
      </c>
      <c r="P161" s="131" t="str">
        <f t="shared" si="1049"/>
        <v/>
      </c>
      <c r="Q161" s="131" t="str">
        <f t="shared" si="1013"/>
        <v/>
      </c>
      <c r="R161" s="131" t="str">
        <f t="shared" si="1014"/>
        <v/>
      </c>
      <c r="S161" s="131" t="str">
        <f t="shared" si="1015"/>
        <v/>
      </c>
      <c r="T161" s="131" t="str">
        <f t="shared" si="1016"/>
        <v/>
      </c>
      <c r="U161" s="131" t="str">
        <f t="shared" si="1017"/>
        <v/>
      </c>
      <c r="V161" s="131" t="str">
        <f t="shared" si="1018"/>
        <v/>
      </c>
      <c r="W161" s="131" t="str">
        <f t="shared" si="1019"/>
        <v/>
      </c>
      <c r="X161" s="131" t="str">
        <f t="shared" si="1020"/>
        <v/>
      </c>
      <c r="Y161" s="131" t="str">
        <f t="shared" si="1021"/>
        <v/>
      </c>
      <c r="Z161" s="131" t="str">
        <f t="shared" si="1022"/>
        <v/>
      </c>
      <c r="AA161" s="131" t="str">
        <f t="shared" si="1023"/>
        <v/>
      </c>
      <c r="AB161" s="131" t="str">
        <f t="shared" si="1024"/>
        <v/>
      </c>
      <c r="AC161" s="131" t="str">
        <f t="shared" si="1025"/>
        <v/>
      </c>
      <c r="AD161" s="131" t="str">
        <f t="shared" si="1026"/>
        <v/>
      </c>
      <c r="AE161" s="131" t="str">
        <f t="shared" si="1027"/>
        <v/>
      </c>
      <c r="AF161" s="131" t="str">
        <f t="shared" si="1028"/>
        <v/>
      </c>
      <c r="AG161" s="131" t="str">
        <f t="shared" si="1029"/>
        <v/>
      </c>
      <c r="AH161" s="131" t="str">
        <f t="shared" si="1030"/>
        <v/>
      </c>
      <c r="AI161" s="131" t="str">
        <f t="shared" si="1031"/>
        <v/>
      </c>
      <c r="AJ161" s="131" t="str">
        <f t="shared" si="1032"/>
        <v/>
      </c>
      <c r="AK161" s="131" t="str">
        <f t="shared" si="1033"/>
        <v/>
      </c>
      <c r="AL161" s="131" t="str">
        <f t="shared" si="1034"/>
        <v/>
      </c>
      <c r="AM161" s="131" t="str">
        <f t="shared" si="1035"/>
        <v/>
      </c>
      <c r="AN161" s="131" t="str">
        <f t="shared" si="1036"/>
        <v/>
      </c>
      <c r="AO161" s="131" t="str">
        <f t="shared" si="1037"/>
        <v/>
      </c>
      <c r="AP161" s="131" t="str">
        <f t="shared" si="1038"/>
        <v/>
      </c>
      <c r="AQ161" s="131" t="str">
        <f t="shared" si="1039"/>
        <v/>
      </c>
      <c r="AR161" s="131" t="str">
        <f t="shared" si="1040"/>
        <v/>
      </c>
      <c r="AS161" s="131" t="str">
        <f t="shared" si="1041"/>
        <v/>
      </c>
      <c r="AT161" s="131" t="str">
        <f t="shared" si="1042"/>
        <v/>
      </c>
      <c r="AU161" s="131" t="str">
        <f t="shared" si="1043"/>
        <v/>
      </c>
      <c r="AV161" s="131" t="str">
        <f t="shared" si="1044"/>
        <v/>
      </c>
      <c r="AW161" s="131" t="str">
        <f t="shared" si="1045"/>
        <v/>
      </c>
      <c r="AX161" s="131" t="str">
        <f t="shared" si="1046"/>
        <v/>
      </c>
      <c r="AY161" s="13"/>
      <c r="AZ161" s="10"/>
    </row>
    <row r="162" spans="12:52" ht="16.5" customHeight="1" x14ac:dyDescent="0.3">
      <c r="L162" s="6"/>
      <c r="M162" s="5"/>
      <c r="N162" s="5"/>
      <c r="O162" s="51">
        <f t="shared" si="1048"/>
        <v>62</v>
      </c>
      <c r="P162" s="131" t="str">
        <f t="shared" si="1049"/>
        <v/>
      </c>
      <c r="Q162" s="131" t="str">
        <f t="shared" si="1013"/>
        <v/>
      </c>
      <c r="R162" s="131" t="str">
        <f t="shared" si="1014"/>
        <v/>
      </c>
      <c r="S162" s="131" t="str">
        <f t="shared" si="1015"/>
        <v/>
      </c>
      <c r="T162" s="131" t="str">
        <f t="shared" si="1016"/>
        <v/>
      </c>
      <c r="U162" s="131" t="str">
        <f t="shared" si="1017"/>
        <v/>
      </c>
      <c r="V162" s="131" t="str">
        <f t="shared" si="1018"/>
        <v/>
      </c>
      <c r="W162" s="131" t="str">
        <f t="shared" si="1019"/>
        <v/>
      </c>
      <c r="X162" s="131" t="str">
        <f t="shared" si="1020"/>
        <v/>
      </c>
      <c r="Y162" s="131" t="str">
        <f t="shared" si="1021"/>
        <v/>
      </c>
      <c r="Z162" s="131" t="str">
        <f t="shared" si="1022"/>
        <v/>
      </c>
      <c r="AA162" s="131" t="str">
        <f t="shared" si="1023"/>
        <v/>
      </c>
      <c r="AB162" s="131" t="str">
        <f t="shared" si="1024"/>
        <v/>
      </c>
      <c r="AC162" s="131" t="str">
        <f t="shared" si="1025"/>
        <v/>
      </c>
      <c r="AD162" s="131" t="str">
        <f t="shared" si="1026"/>
        <v/>
      </c>
      <c r="AE162" s="131" t="str">
        <f t="shared" si="1027"/>
        <v/>
      </c>
      <c r="AF162" s="131" t="str">
        <f t="shared" si="1028"/>
        <v/>
      </c>
      <c r="AG162" s="131" t="str">
        <f t="shared" si="1029"/>
        <v/>
      </c>
      <c r="AH162" s="131" t="str">
        <f t="shared" si="1030"/>
        <v/>
      </c>
      <c r="AI162" s="131" t="str">
        <f t="shared" si="1031"/>
        <v/>
      </c>
      <c r="AJ162" s="131" t="str">
        <f t="shared" si="1032"/>
        <v/>
      </c>
      <c r="AK162" s="131" t="str">
        <f t="shared" si="1033"/>
        <v/>
      </c>
      <c r="AL162" s="131" t="str">
        <f t="shared" si="1034"/>
        <v/>
      </c>
      <c r="AM162" s="131" t="str">
        <f t="shared" si="1035"/>
        <v/>
      </c>
      <c r="AN162" s="131" t="str">
        <f t="shared" si="1036"/>
        <v/>
      </c>
      <c r="AO162" s="131" t="str">
        <f t="shared" si="1037"/>
        <v/>
      </c>
      <c r="AP162" s="131" t="str">
        <f t="shared" si="1038"/>
        <v/>
      </c>
      <c r="AQ162" s="131" t="str">
        <f t="shared" si="1039"/>
        <v/>
      </c>
      <c r="AR162" s="131" t="str">
        <f t="shared" si="1040"/>
        <v/>
      </c>
      <c r="AS162" s="131" t="str">
        <f t="shared" si="1041"/>
        <v/>
      </c>
      <c r="AT162" s="131" t="str">
        <f t="shared" si="1042"/>
        <v/>
      </c>
      <c r="AU162" s="131" t="str">
        <f t="shared" si="1043"/>
        <v/>
      </c>
      <c r="AV162" s="131" t="str">
        <f t="shared" si="1044"/>
        <v/>
      </c>
      <c r="AW162" s="131" t="str">
        <f t="shared" si="1045"/>
        <v/>
      </c>
      <c r="AX162" s="131" t="str">
        <f t="shared" si="1046"/>
        <v/>
      </c>
      <c r="AY162" s="13"/>
      <c r="AZ162" s="10"/>
    </row>
    <row r="163" spans="12:52" ht="16.5" customHeight="1" x14ac:dyDescent="0.3">
      <c r="L163" s="6"/>
      <c r="M163" s="5"/>
      <c r="N163" s="5"/>
      <c r="O163" s="51">
        <f t="shared" si="1048"/>
        <v>60</v>
      </c>
      <c r="P163" s="131" t="str">
        <f t="shared" si="1049"/>
        <v/>
      </c>
      <c r="Q163" s="131" t="str">
        <f t="shared" si="1013"/>
        <v/>
      </c>
      <c r="R163" s="131" t="str">
        <f t="shared" si="1014"/>
        <v/>
      </c>
      <c r="S163" s="131" t="str">
        <f t="shared" si="1015"/>
        <v/>
      </c>
      <c r="T163" s="131" t="str">
        <f t="shared" si="1016"/>
        <v/>
      </c>
      <c r="U163" s="131" t="str">
        <f t="shared" si="1017"/>
        <v/>
      </c>
      <c r="V163" s="131" t="str">
        <f t="shared" si="1018"/>
        <v/>
      </c>
      <c r="W163" s="131" t="str">
        <f t="shared" si="1019"/>
        <v/>
      </c>
      <c r="X163" s="131" t="str">
        <f t="shared" si="1020"/>
        <v/>
      </c>
      <c r="Y163" s="131" t="str">
        <f t="shared" si="1021"/>
        <v/>
      </c>
      <c r="Z163" s="131" t="str">
        <f t="shared" si="1022"/>
        <v/>
      </c>
      <c r="AA163" s="131" t="str">
        <f t="shared" si="1023"/>
        <v/>
      </c>
      <c r="AB163" s="131" t="str">
        <f t="shared" si="1024"/>
        <v/>
      </c>
      <c r="AC163" s="131" t="str">
        <f t="shared" si="1025"/>
        <v/>
      </c>
      <c r="AD163" s="131" t="str">
        <f t="shared" si="1026"/>
        <v/>
      </c>
      <c r="AE163" s="131" t="str">
        <f t="shared" si="1027"/>
        <v/>
      </c>
      <c r="AF163" s="131" t="str">
        <f t="shared" si="1028"/>
        <v/>
      </c>
      <c r="AG163" s="131" t="str">
        <f t="shared" si="1029"/>
        <v/>
      </c>
      <c r="AH163" s="131" t="str">
        <f t="shared" si="1030"/>
        <v/>
      </c>
      <c r="AI163" s="131" t="str">
        <f t="shared" si="1031"/>
        <v/>
      </c>
      <c r="AJ163" s="131" t="str">
        <f t="shared" si="1032"/>
        <v/>
      </c>
      <c r="AK163" s="131" t="str">
        <f t="shared" si="1033"/>
        <v/>
      </c>
      <c r="AL163" s="131" t="str">
        <f t="shared" si="1034"/>
        <v/>
      </c>
      <c r="AM163" s="131" t="str">
        <f t="shared" si="1035"/>
        <v/>
      </c>
      <c r="AN163" s="131" t="str">
        <f t="shared" si="1036"/>
        <v/>
      </c>
      <c r="AO163" s="131" t="str">
        <f t="shared" si="1037"/>
        <v/>
      </c>
      <c r="AP163" s="131" t="str">
        <f t="shared" si="1038"/>
        <v/>
      </c>
      <c r="AQ163" s="131" t="str">
        <f t="shared" si="1039"/>
        <v/>
      </c>
      <c r="AR163" s="131" t="str">
        <f t="shared" si="1040"/>
        <v/>
      </c>
      <c r="AS163" s="131" t="str">
        <f t="shared" si="1041"/>
        <v/>
      </c>
      <c r="AT163" s="131" t="str">
        <f t="shared" si="1042"/>
        <v/>
      </c>
      <c r="AU163" s="131" t="str">
        <f t="shared" si="1043"/>
        <v/>
      </c>
      <c r="AV163" s="131" t="str">
        <f t="shared" si="1044"/>
        <v/>
      </c>
      <c r="AW163" s="131" t="str">
        <f t="shared" si="1045"/>
        <v/>
      </c>
      <c r="AX163" s="131" t="str">
        <f t="shared" si="1046"/>
        <v/>
      </c>
      <c r="AY163" s="13"/>
      <c r="AZ163" s="10"/>
    </row>
    <row r="164" spans="12:52" ht="16.5" customHeight="1" x14ac:dyDescent="0.3">
      <c r="L164" s="6"/>
      <c r="M164" s="5"/>
      <c r="N164" s="5"/>
      <c r="O164" s="51">
        <f t="shared" si="1048"/>
        <v>58</v>
      </c>
      <c r="P164" s="131" t="str">
        <f t="shared" si="1049"/>
        <v/>
      </c>
      <c r="Q164" s="131" t="str">
        <f t="shared" si="1013"/>
        <v/>
      </c>
      <c r="R164" s="131" t="str">
        <f t="shared" si="1014"/>
        <v/>
      </c>
      <c r="S164" s="131" t="str">
        <f t="shared" si="1015"/>
        <v/>
      </c>
      <c r="T164" s="131" t="str">
        <f t="shared" si="1016"/>
        <v/>
      </c>
      <c r="U164" s="131" t="str">
        <f t="shared" si="1017"/>
        <v/>
      </c>
      <c r="V164" s="131" t="str">
        <f t="shared" si="1018"/>
        <v/>
      </c>
      <c r="W164" s="131" t="str">
        <f t="shared" si="1019"/>
        <v/>
      </c>
      <c r="X164" s="131" t="str">
        <f t="shared" si="1020"/>
        <v/>
      </c>
      <c r="Y164" s="131" t="str">
        <f t="shared" si="1021"/>
        <v/>
      </c>
      <c r="Z164" s="131" t="str">
        <f t="shared" si="1022"/>
        <v/>
      </c>
      <c r="AA164" s="131" t="str">
        <f t="shared" si="1023"/>
        <v/>
      </c>
      <c r="AB164" s="131" t="str">
        <f t="shared" si="1024"/>
        <v/>
      </c>
      <c r="AC164" s="131">
        <f t="shared" si="1025"/>
        <v>58</v>
      </c>
      <c r="AD164" s="131" t="str">
        <f t="shared" si="1026"/>
        <v/>
      </c>
      <c r="AE164" s="131" t="str">
        <f t="shared" si="1027"/>
        <v/>
      </c>
      <c r="AF164" s="131" t="str">
        <f t="shared" si="1028"/>
        <v/>
      </c>
      <c r="AG164" s="131" t="str">
        <f t="shared" si="1029"/>
        <v/>
      </c>
      <c r="AH164" s="131" t="str">
        <f t="shared" si="1030"/>
        <v/>
      </c>
      <c r="AI164" s="131" t="str">
        <f t="shared" si="1031"/>
        <v/>
      </c>
      <c r="AJ164" s="131" t="str">
        <f t="shared" si="1032"/>
        <v/>
      </c>
      <c r="AK164" s="131" t="str">
        <f t="shared" si="1033"/>
        <v/>
      </c>
      <c r="AL164" s="131" t="str">
        <f t="shared" si="1034"/>
        <v/>
      </c>
      <c r="AM164" s="131" t="str">
        <f t="shared" si="1035"/>
        <v/>
      </c>
      <c r="AN164" s="131" t="str">
        <f t="shared" si="1036"/>
        <v/>
      </c>
      <c r="AO164" s="131" t="str">
        <f t="shared" si="1037"/>
        <v/>
      </c>
      <c r="AP164" s="131" t="str">
        <f t="shared" si="1038"/>
        <v/>
      </c>
      <c r="AQ164" s="131" t="str">
        <f t="shared" si="1039"/>
        <v/>
      </c>
      <c r="AR164" s="131" t="str">
        <f t="shared" si="1040"/>
        <v/>
      </c>
      <c r="AS164" s="131" t="str">
        <f t="shared" si="1041"/>
        <v/>
      </c>
      <c r="AT164" s="131" t="str">
        <f t="shared" si="1042"/>
        <v/>
      </c>
      <c r="AU164" s="131" t="str">
        <f t="shared" si="1043"/>
        <v/>
      </c>
      <c r="AV164" s="131" t="str">
        <f t="shared" si="1044"/>
        <v/>
      </c>
      <c r="AW164" s="131" t="str">
        <f t="shared" si="1045"/>
        <v/>
      </c>
      <c r="AX164" s="131" t="str">
        <f t="shared" si="1046"/>
        <v/>
      </c>
      <c r="AY164" s="13"/>
      <c r="AZ164" s="10"/>
    </row>
    <row r="165" spans="12:52" ht="16.5" customHeight="1" x14ac:dyDescent="0.3">
      <c r="L165" s="6"/>
      <c r="M165" s="5"/>
      <c r="N165" s="5"/>
      <c r="O165" s="51">
        <f t="shared" si="1048"/>
        <v>56</v>
      </c>
      <c r="P165" s="131" t="str">
        <f t="shared" si="1049"/>
        <v/>
      </c>
      <c r="Q165" s="131" t="str">
        <f t="shared" si="1013"/>
        <v/>
      </c>
      <c r="R165" s="131" t="str">
        <f t="shared" si="1014"/>
        <v/>
      </c>
      <c r="S165" s="131" t="str">
        <f t="shared" si="1015"/>
        <v/>
      </c>
      <c r="T165" s="131" t="str">
        <f t="shared" si="1016"/>
        <v/>
      </c>
      <c r="U165" s="131" t="str">
        <f t="shared" si="1017"/>
        <v/>
      </c>
      <c r="V165" s="131" t="str">
        <f t="shared" si="1018"/>
        <v/>
      </c>
      <c r="W165" s="131" t="str">
        <f t="shared" si="1019"/>
        <v/>
      </c>
      <c r="X165" s="131" t="str">
        <f t="shared" si="1020"/>
        <v/>
      </c>
      <c r="Y165" s="131" t="str">
        <f t="shared" si="1021"/>
        <v/>
      </c>
      <c r="Z165" s="131" t="str">
        <f t="shared" si="1022"/>
        <v/>
      </c>
      <c r="AA165" s="131" t="str">
        <f t="shared" si="1023"/>
        <v/>
      </c>
      <c r="AB165" s="131" t="str">
        <f t="shared" si="1024"/>
        <v/>
      </c>
      <c r="AC165" s="131" t="str">
        <f t="shared" si="1025"/>
        <v/>
      </c>
      <c r="AD165" s="131" t="str">
        <f t="shared" si="1026"/>
        <v/>
      </c>
      <c r="AE165" s="131">
        <f t="shared" si="1027"/>
        <v>56</v>
      </c>
      <c r="AF165" s="131" t="str">
        <f t="shared" si="1028"/>
        <v/>
      </c>
      <c r="AG165" s="131" t="str">
        <f t="shared" si="1029"/>
        <v/>
      </c>
      <c r="AH165" s="131" t="str">
        <f t="shared" si="1030"/>
        <v/>
      </c>
      <c r="AI165" s="131" t="str">
        <f t="shared" si="1031"/>
        <v/>
      </c>
      <c r="AJ165" s="131" t="str">
        <f t="shared" si="1032"/>
        <v/>
      </c>
      <c r="AK165" s="131" t="str">
        <f t="shared" si="1033"/>
        <v/>
      </c>
      <c r="AL165" s="131" t="str">
        <f t="shared" si="1034"/>
        <v/>
      </c>
      <c r="AM165" s="131" t="str">
        <f t="shared" si="1035"/>
        <v/>
      </c>
      <c r="AN165" s="131" t="str">
        <f t="shared" si="1036"/>
        <v/>
      </c>
      <c r="AO165" s="131" t="str">
        <f t="shared" si="1037"/>
        <v/>
      </c>
      <c r="AP165" s="131" t="str">
        <f t="shared" si="1038"/>
        <v/>
      </c>
      <c r="AQ165" s="131" t="str">
        <f t="shared" si="1039"/>
        <v/>
      </c>
      <c r="AR165" s="131" t="str">
        <f t="shared" si="1040"/>
        <v/>
      </c>
      <c r="AS165" s="131" t="str">
        <f t="shared" si="1041"/>
        <v/>
      </c>
      <c r="AT165" s="131" t="str">
        <f t="shared" si="1042"/>
        <v/>
      </c>
      <c r="AU165" s="131" t="str">
        <f t="shared" si="1043"/>
        <v/>
      </c>
      <c r="AV165" s="131" t="str">
        <f t="shared" si="1044"/>
        <v/>
      </c>
      <c r="AW165" s="131" t="str">
        <f t="shared" si="1045"/>
        <v/>
      </c>
      <c r="AX165" s="131" t="str">
        <f t="shared" si="1046"/>
        <v/>
      </c>
      <c r="AY165" s="13"/>
      <c r="AZ165" s="10"/>
    </row>
    <row r="166" spans="12:52" ht="16.5" customHeight="1" x14ac:dyDescent="0.3">
      <c r="L166" s="6"/>
      <c r="M166" s="5"/>
      <c r="N166" s="5"/>
      <c r="O166" s="51">
        <f t="shared" si="1048"/>
        <v>54</v>
      </c>
      <c r="P166" s="131" t="str">
        <f t="shared" si="1049"/>
        <v/>
      </c>
      <c r="Q166" s="131" t="str">
        <f t="shared" si="1013"/>
        <v/>
      </c>
      <c r="R166" s="131" t="str">
        <f t="shared" si="1014"/>
        <v/>
      </c>
      <c r="S166" s="131" t="str">
        <f t="shared" si="1015"/>
        <v/>
      </c>
      <c r="T166" s="131" t="str">
        <f t="shared" si="1016"/>
        <v/>
      </c>
      <c r="U166" s="131" t="str">
        <f t="shared" si="1017"/>
        <v/>
      </c>
      <c r="V166" s="131" t="str">
        <f t="shared" si="1018"/>
        <v/>
      </c>
      <c r="W166" s="131" t="str">
        <f t="shared" si="1019"/>
        <v/>
      </c>
      <c r="X166" s="131" t="str">
        <f t="shared" si="1020"/>
        <v/>
      </c>
      <c r="Y166" s="131" t="str">
        <f t="shared" si="1021"/>
        <v/>
      </c>
      <c r="Z166" s="131" t="str">
        <f t="shared" si="1022"/>
        <v/>
      </c>
      <c r="AA166" s="131" t="str">
        <f t="shared" si="1023"/>
        <v/>
      </c>
      <c r="AB166" s="131" t="str">
        <f t="shared" si="1024"/>
        <v/>
      </c>
      <c r="AC166" s="131" t="str">
        <f t="shared" si="1025"/>
        <v/>
      </c>
      <c r="AD166" s="131" t="str">
        <f t="shared" si="1026"/>
        <v/>
      </c>
      <c r="AE166" s="131" t="str">
        <f t="shared" si="1027"/>
        <v/>
      </c>
      <c r="AF166" s="131" t="str">
        <f t="shared" si="1028"/>
        <v/>
      </c>
      <c r="AG166" s="131" t="str">
        <f t="shared" si="1029"/>
        <v/>
      </c>
      <c r="AH166" s="131" t="str">
        <f t="shared" si="1030"/>
        <v/>
      </c>
      <c r="AI166" s="131" t="str">
        <f t="shared" si="1031"/>
        <v/>
      </c>
      <c r="AJ166" s="131" t="str">
        <f t="shared" si="1032"/>
        <v/>
      </c>
      <c r="AK166" s="131" t="str">
        <f t="shared" si="1033"/>
        <v/>
      </c>
      <c r="AL166" s="131" t="str">
        <f t="shared" si="1034"/>
        <v/>
      </c>
      <c r="AM166" s="131" t="str">
        <f t="shared" si="1035"/>
        <v/>
      </c>
      <c r="AN166" s="131" t="str">
        <f t="shared" si="1036"/>
        <v/>
      </c>
      <c r="AO166" s="131" t="str">
        <f t="shared" si="1037"/>
        <v/>
      </c>
      <c r="AP166" s="131" t="str">
        <f t="shared" si="1038"/>
        <v/>
      </c>
      <c r="AQ166" s="131" t="str">
        <f t="shared" si="1039"/>
        <v/>
      </c>
      <c r="AR166" s="131" t="str">
        <f t="shared" si="1040"/>
        <v/>
      </c>
      <c r="AS166" s="131" t="str">
        <f t="shared" si="1041"/>
        <v/>
      </c>
      <c r="AT166" s="131" t="str">
        <f t="shared" si="1042"/>
        <v/>
      </c>
      <c r="AU166" s="131" t="str">
        <f t="shared" si="1043"/>
        <v/>
      </c>
      <c r="AV166" s="131" t="str">
        <f t="shared" si="1044"/>
        <v/>
      </c>
      <c r="AW166" s="131" t="str">
        <f t="shared" si="1045"/>
        <v/>
      </c>
      <c r="AX166" s="131" t="str">
        <f t="shared" si="1046"/>
        <v/>
      </c>
      <c r="AY166" s="13"/>
      <c r="AZ166" s="10"/>
    </row>
    <row r="167" spans="12:52" ht="16.5" customHeight="1" x14ac:dyDescent="0.3">
      <c r="L167" s="6"/>
      <c r="M167" s="5"/>
      <c r="N167" s="5"/>
      <c r="O167" s="51">
        <f t="shared" si="1048"/>
        <v>52</v>
      </c>
      <c r="P167" s="131" t="str">
        <f t="shared" si="1049"/>
        <v/>
      </c>
      <c r="Q167" s="131" t="str">
        <f t="shared" si="1013"/>
        <v/>
      </c>
      <c r="R167" s="131" t="str">
        <f t="shared" si="1014"/>
        <v/>
      </c>
      <c r="S167" s="131" t="str">
        <f t="shared" si="1015"/>
        <v/>
      </c>
      <c r="T167" s="131" t="str">
        <f t="shared" si="1016"/>
        <v/>
      </c>
      <c r="U167" s="131" t="str">
        <f t="shared" si="1017"/>
        <v/>
      </c>
      <c r="V167" s="131" t="str">
        <f t="shared" si="1018"/>
        <v/>
      </c>
      <c r="W167" s="131" t="str">
        <f t="shared" si="1019"/>
        <v/>
      </c>
      <c r="X167" s="131" t="str">
        <f t="shared" si="1020"/>
        <v/>
      </c>
      <c r="Y167" s="131" t="str">
        <f t="shared" si="1021"/>
        <v/>
      </c>
      <c r="Z167" s="131" t="str">
        <f t="shared" si="1022"/>
        <v/>
      </c>
      <c r="AA167" s="131" t="str">
        <f t="shared" si="1023"/>
        <v/>
      </c>
      <c r="AB167" s="131" t="str">
        <f t="shared" si="1024"/>
        <v/>
      </c>
      <c r="AC167" s="131" t="str">
        <f t="shared" si="1025"/>
        <v/>
      </c>
      <c r="AD167" s="131" t="str">
        <f t="shared" si="1026"/>
        <v/>
      </c>
      <c r="AE167" s="131" t="str">
        <f t="shared" si="1027"/>
        <v/>
      </c>
      <c r="AF167" s="131" t="str">
        <f t="shared" si="1028"/>
        <v/>
      </c>
      <c r="AG167" s="131" t="str">
        <f t="shared" si="1029"/>
        <v/>
      </c>
      <c r="AH167" s="131" t="str">
        <f t="shared" si="1030"/>
        <v/>
      </c>
      <c r="AI167" s="131" t="str">
        <f t="shared" si="1031"/>
        <v/>
      </c>
      <c r="AJ167" s="131" t="str">
        <f t="shared" si="1032"/>
        <v/>
      </c>
      <c r="AK167" s="131" t="str">
        <f t="shared" si="1033"/>
        <v/>
      </c>
      <c r="AL167" s="131" t="str">
        <f t="shared" si="1034"/>
        <v/>
      </c>
      <c r="AM167" s="131" t="str">
        <f t="shared" si="1035"/>
        <v/>
      </c>
      <c r="AN167" s="131" t="str">
        <f t="shared" si="1036"/>
        <v/>
      </c>
      <c r="AO167" s="131" t="str">
        <f t="shared" si="1037"/>
        <v/>
      </c>
      <c r="AP167" s="131" t="str">
        <f t="shared" si="1038"/>
        <v/>
      </c>
      <c r="AQ167" s="131" t="str">
        <f t="shared" si="1039"/>
        <v/>
      </c>
      <c r="AR167" s="131" t="str">
        <f t="shared" si="1040"/>
        <v/>
      </c>
      <c r="AS167" s="131" t="str">
        <f t="shared" si="1041"/>
        <v/>
      </c>
      <c r="AT167" s="131" t="str">
        <f t="shared" si="1042"/>
        <v/>
      </c>
      <c r="AU167" s="131" t="str">
        <f t="shared" si="1043"/>
        <v/>
      </c>
      <c r="AV167" s="131" t="str">
        <f t="shared" si="1044"/>
        <v/>
      </c>
      <c r="AW167" s="131" t="str">
        <f t="shared" si="1045"/>
        <v/>
      </c>
      <c r="AX167" s="131" t="str">
        <f t="shared" si="1046"/>
        <v/>
      </c>
      <c r="AY167" s="13"/>
      <c r="AZ167" s="10"/>
    </row>
    <row r="168" spans="12:52" ht="16.5" customHeight="1" x14ac:dyDescent="0.3">
      <c r="L168" s="6"/>
      <c r="M168" s="5"/>
      <c r="N168" s="5"/>
      <c r="O168" s="51">
        <f t="shared" si="1048"/>
        <v>50</v>
      </c>
      <c r="P168" s="131" t="str">
        <f t="shared" si="1049"/>
        <v/>
      </c>
      <c r="Q168" s="131" t="str">
        <f t="shared" si="1013"/>
        <v/>
      </c>
      <c r="R168" s="131" t="str">
        <f t="shared" si="1014"/>
        <v/>
      </c>
      <c r="S168" s="131" t="str">
        <f t="shared" si="1015"/>
        <v/>
      </c>
      <c r="T168" s="131" t="str">
        <f t="shared" si="1016"/>
        <v/>
      </c>
      <c r="U168" s="131" t="str">
        <f t="shared" si="1017"/>
        <v/>
      </c>
      <c r="V168" s="131" t="str">
        <f t="shared" si="1018"/>
        <v/>
      </c>
      <c r="W168" s="131" t="str">
        <f t="shared" si="1019"/>
        <v/>
      </c>
      <c r="X168" s="131" t="str">
        <f t="shared" si="1020"/>
        <v/>
      </c>
      <c r="Y168" s="131" t="str">
        <f t="shared" si="1021"/>
        <v/>
      </c>
      <c r="Z168" s="131" t="str">
        <f t="shared" si="1022"/>
        <v/>
      </c>
      <c r="AA168" s="131" t="str">
        <f t="shared" si="1023"/>
        <v/>
      </c>
      <c r="AB168" s="131" t="str">
        <f t="shared" si="1024"/>
        <v/>
      </c>
      <c r="AC168" s="131" t="str">
        <f t="shared" si="1025"/>
        <v/>
      </c>
      <c r="AD168" s="131" t="str">
        <f t="shared" si="1026"/>
        <v/>
      </c>
      <c r="AE168" s="131" t="str">
        <f t="shared" si="1027"/>
        <v/>
      </c>
      <c r="AF168" s="131" t="str">
        <f t="shared" si="1028"/>
        <v/>
      </c>
      <c r="AG168" s="131" t="str">
        <f t="shared" si="1029"/>
        <v/>
      </c>
      <c r="AH168" s="131" t="str">
        <f t="shared" si="1030"/>
        <v/>
      </c>
      <c r="AI168" s="131" t="str">
        <f t="shared" si="1031"/>
        <v/>
      </c>
      <c r="AJ168" s="131" t="str">
        <f t="shared" si="1032"/>
        <v/>
      </c>
      <c r="AK168" s="131" t="str">
        <f t="shared" si="1033"/>
        <v/>
      </c>
      <c r="AL168" s="131" t="str">
        <f t="shared" si="1034"/>
        <v/>
      </c>
      <c r="AM168" s="131" t="str">
        <f t="shared" si="1035"/>
        <v/>
      </c>
      <c r="AN168" s="131" t="str">
        <f t="shared" si="1036"/>
        <v/>
      </c>
      <c r="AO168" s="131" t="str">
        <f t="shared" si="1037"/>
        <v/>
      </c>
      <c r="AP168" s="131" t="str">
        <f t="shared" si="1038"/>
        <v/>
      </c>
      <c r="AQ168" s="131" t="str">
        <f t="shared" si="1039"/>
        <v/>
      </c>
      <c r="AR168" s="131" t="str">
        <f t="shared" si="1040"/>
        <v/>
      </c>
      <c r="AS168" s="131" t="str">
        <f t="shared" si="1041"/>
        <v/>
      </c>
      <c r="AT168" s="131" t="str">
        <f t="shared" si="1042"/>
        <v/>
      </c>
      <c r="AU168" s="131" t="str">
        <f t="shared" si="1043"/>
        <v/>
      </c>
      <c r="AV168" s="131" t="str">
        <f t="shared" si="1044"/>
        <v/>
      </c>
      <c r="AW168" s="131" t="str">
        <f t="shared" si="1045"/>
        <v/>
      </c>
      <c r="AX168" s="131" t="str">
        <f t="shared" si="1046"/>
        <v/>
      </c>
      <c r="AY168" s="13"/>
      <c r="AZ168" s="10"/>
    </row>
    <row r="169" spans="12:52" ht="16.5" customHeight="1" x14ac:dyDescent="0.3">
      <c r="L169" s="6"/>
      <c r="M169" s="5"/>
      <c r="N169" s="5"/>
      <c r="O169" s="51">
        <f t="shared" si="1048"/>
        <v>48</v>
      </c>
      <c r="P169" s="131" t="str">
        <f t="shared" si="1049"/>
        <v/>
      </c>
      <c r="Q169" s="131" t="str">
        <f t="shared" si="1013"/>
        <v/>
      </c>
      <c r="R169" s="131" t="str">
        <f t="shared" si="1014"/>
        <v/>
      </c>
      <c r="S169" s="131" t="str">
        <f t="shared" si="1015"/>
        <v/>
      </c>
      <c r="T169" s="131" t="str">
        <f t="shared" si="1016"/>
        <v/>
      </c>
      <c r="U169" s="131" t="str">
        <f t="shared" si="1017"/>
        <v/>
      </c>
      <c r="V169" s="131" t="str">
        <f t="shared" si="1018"/>
        <v/>
      </c>
      <c r="W169" s="131" t="str">
        <f t="shared" si="1019"/>
        <v/>
      </c>
      <c r="X169" s="131" t="str">
        <f t="shared" si="1020"/>
        <v/>
      </c>
      <c r="Y169" s="131" t="str">
        <f t="shared" si="1021"/>
        <v/>
      </c>
      <c r="Z169" s="131" t="str">
        <f t="shared" si="1022"/>
        <v/>
      </c>
      <c r="AA169" s="131" t="str">
        <f t="shared" si="1023"/>
        <v/>
      </c>
      <c r="AB169" s="131" t="str">
        <f t="shared" si="1024"/>
        <v/>
      </c>
      <c r="AC169" s="131" t="str">
        <f t="shared" si="1025"/>
        <v/>
      </c>
      <c r="AD169" s="131" t="str">
        <f t="shared" si="1026"/>
        <v/>
      </c>
      <c r="AE169" s="131" t="str">
        <f t="shared" si="1027"/>
        <v/>
      </c>
      <c r="AF169" s="131" t="str">
        <f t="shared" si="1028"/>
        <v/>
      </c>
      <c r="AG169" s="131" t="str">
        <f t="shared" si="1029"/>
        <v/>
      </c>
      <c r="AH169" s="131" t="str">
        <f t="shared" si="1030"/>
        <v/>
      </c>
      <c r="AI169" s="131" t="str">
        <f t="shared" si="1031"/>
        <v/>
      </c>
      <c r="AJ169" s="131" t="str">
        <f t="shared" si="1032"/>
        <v/>
      </c>
      <c r="AK169" s="131" t="str">
        <f t="shared" si="1033"/>
        <v/>
      </c>
      <c r="AL169" s="131" t="str">
        <f t="shared" si="1034"/>
        <v/>
      </c>
      <c r="AM169" s="131" t="str">
        <f t="shared" si="1035"/>
        <v/>
      </c>
      <c r="AN169" s="131" t="str">
        <f t="shared" si="1036"/>
        <v/>
      </c>
      <c r="AO169" s="131" t="str">
        <f t="shared" si="1037"/>
        <v/>
      </c>
      <c r="AP169" s="131" t="str">
        <f t="shared" si="1038"/>
        <v/>
      </c>
      <c r="AQ169" s="131" t="str">
        <f t="shared" si="1039"/>
        <v/>
      </c>
      <c r="AR169" s="131" t="str">
        <f t="shared" si="1040"/>
        <v/>
      </c>
      <c r="AS169" s="131" t="str">
        <f t="shared" si="1041"/>
        <v/>
      </c>
      <c r="AT169" s="131" t="str">
        <f t="shared" si="1042"/>
        <v/>
      </c>
      <c r="AU169" s="131" t="str">
        <f t="shared" si="1043"/>
        <v/>
      </c>
      <c r="AV169" s="131" t="str">
        <f t="shared" si="1044"/>
        <v/>
      </c>
      <c r="AW169" s="131" t="str">
        <f t="shared" si="1045"/>
        <v/>
      </c>
      <c r="AX169" s="131" t="str">
        <f t="shared" si="1046"/>
        <v/>
      </c>
      <c r="AY169" s="13"/>
      <c r="AZ169" s="10"/>
    </row>
    <row r="170" spans="12:52" ht="16.5" customHeight="1" x14ac:dyDescent="0.3">
      <c r="L170" s="6"/>
      <c r="M170" s="5"/>
      <c r="N170" s="5"/>
      <c r="O170" s="51">
        <f t="shared" si="1048"/>
        <v>46</v>
      </c>
      <c r="P170" s="131" t="str">
        <f t="shared" si="1049"/>
        <v/>
      </c>
      <c r="Q170" s="131" t="str">
        <f t="shared" si="1013"/>
        <v/>
      </c>
      <c r="R170" s="131" t="str">
        <f t="shared" si="1014"/>
        <v/>
      </c>
      <c r="S170" s="131" t="str">
        <f t="shared" si="1015"/>
        <v/>
      </c>
      <c r="T170" s="131" t="str">
        <f t="shared" si="1016"/>
        <v/>
      </c>
      <c r="U170" s="131" t="str">
        <f t="shared" si="1017"/>
        <v/>
      </c>
      <c r="V170" s="131" t="str">
        <f t="shared" si="1018"/>
        <v/>
      </c>
      <c r="W170" s="131" t="str">
        <f t="shared" si="1019"/>
        <v/>
      </c>
      <c r="X170" s="131" t="str">
        <f t="shared" si="1020"/>
        <v/>
      </c>
      <c r="Y170" s="131" t="str">
        <f t="shared" si="1021"/>
        <v/>
      </c>
      <c r="Z170" s="131" t="str">
        <f t="shared" si="1022"/>
        <v/>
      </c>
      <c r="AA170" s="131" t="str">
        <f t="shared" si="1023"/>
        <v/>
      </c>
      <c r="AB170" s="131" t="str">
        <f t="shared" si="1024"/>
        <v/>
      </c>
      <c r="AC170" s="131" t="str">
        <f t="shared" si="1025"/>
        <v/>
      </c>
      <c r="AD170" s="131" t="str">
        <f t="shared" si="1026"/>
        <v/>
      </c>
      <c r="AE170" s="131" t="str">
        <f t="shared" si="1027"/>
        <v/>
      </c>
      <c r="AF170" s="131">
        <f t="shared" si="1028"/>
        <v>46</v>
      </c>
      <c r="AG170" s="131" t="str">
        <f t="shared" si="1029"/>
        <v/>
      </c>
      <c r="AH170" s="131">
        <f t="shared" si="1030"/>
        <v>46</v>
      </c>
      <c r="AI170" s="131" t="str">
        <f t="shared" si="1031"/>
        <v/>
      </c>
      <c r="AJ170" s="131">
        <f t="shared" si="1032"/>
        <v>45</v>
      </c>
      <c r="AK170" s="131" t="str">
        <f t="shared" si="1033"/>
        <v/>
      </c>
      <c r="AL170" s="131" t="str">
        <f t="shared" si="1034"/>
        <v/>
      </c>
      <c r="AM170" s="131" t="str">
        <f t="shared" si="1035"/>
        <v/>
      </c>
      <c r="AN170" s="131" t="str">
        <f t="shared" si="1036"/>
        <v/>
      </c>
      <c r="AO170" s="131" t="str">
        <f t="shared" si="1037"/>
        <v/>
      </c>
      <c r="AP170" s="131" t="str">
        <f t="shared" si="1038"/>
        <v/>
      </c>
      <c r="AQ170" s="131" t="str">
        <f t="shared" si="1039"/>
        <v/>
      </c>
      <c r="AR170" s="131" t="str">
        <f t="shared" si="1040"/>
        <v/>
      </c>
      <c r="AS170" s="131" t="str">
        <f t="shared" si="1041"/>
        <v/>
      </c>
      <c r="AT170" s="131" t="str">
        <f t="shared" si="1042"/>
        <v/>
      </c>
      <c r="AU170" s="131" t="str">
        <f t="shared" si="1043"/>
        <v/>
      </c>
      <c r="AV170" s="131" t="str">
        <f t="shared" si="1044"/>
        <v/>
      </c>
      <c r="AW170" s="131" t="str">
        <f t="shared" si="1045"/>
        <v/>
      </c>
      <c r="AX170" s="131" t="str">
        <f t="shared" si="1046"/>
        <v/>
      </c>
      <c r="AY170" s="13"/>
      <c r="AZ170" s="10"/>
    </row>
    <row r="171" spans="12:52" ht="16.5" customHeight="1" x14ac:dyDescent="0.3">
      <c r="L171" s="6"/>
      <c r="M171" s="5"/>
      <c r="N171" s="5"/>
      <c r="O171" s="51">
        <f t="shared" si="1048"/>
        <v>44</v>
      </c>
      <c r="P171" s="131" t="str">
        <f t="shared" si="1049"/>
        <v/>
      </c>
      <c r="Q171" s="131" t="str">
        <f t="shared" si="1013"/>
        <v/>
      </c>
      <c r="R171" s="131" t="str">
        <f t="shared" si="1014"/>
        <v/>
      </c>
      <c r="S171" s="131" t="str">
        <f t="shared" si="1015"/>
        <v/>
      </c>
      <c r="T171" s="131" t="str">
        <f t="shared" si="1016"/>
        <v/>
      </c>
      <c r="U171" s="131" t="str">
        <f t="shared" si="1017"/>
        <v/>
      </c>
      <c r="V171" s="131" t="str">
        <f t="shared" si="1018"/>
        <v/>
      </c>
      <c r="W171" s="131" t="str">
        <f t="shared" si="1019"/>
        <v/>
      </c>
      <c r="X171" s="131" t="str">
        <f t="shared" si="1020"/>
        <v/>
      </c>
      <c r="Y171" s="131" t="str">
        <f t="shared" si="1021"/>
        <v/>
      </c>
      <c r="Z171" s="131" t="str">
        <f t="shared" si="1022"/>
        <v/>
      </c>
      <c r="AA171" s="131" t="str">
        <f t="shared" si="1023"/>
        <v/>
      </c>
      <c r="AB171" s="131" t="str">
        <f t="shared" si="1024"/>
        <v/>
      </c>
      <c r="AC171" s="131" t="str">
        <f t="shared" si="1025"/>
        <v/>
      </c>
      <c r="AD171" s="131" t="str">
        <f t="shared" si="1026"/>
        <v/>
      </c>
      <c r="AE171" s="131" t="str">
        <f t="shared" si="1027"/>
        <v/>
      </c>
      <c r="AF171" s="131" t="str">
        <f t="shared" si="1028"/>
        <v/>
      </c>
      <c r="AG171" s="131" t="str">
        <f t="shared" si="1029"/>
        <v/>
      </c>
      <c r="AH171" s="131" t="str">
        <f t="shared" si="1030"/>
        <v/>
      </c>
      <c r="AI171" s="131" t="str">
        <f t="shared" si="1031"/>
        <v/>
      </c>
      <c r="AJ171" s="131" t="str">
        <f t="shared" si="1032"/>
        <v/>
      </c>
      <c r="AK171" s="131" t="str">
        <f t="shared" si="1033"/>
        <v/>
      </c>
      <c r="AL171" s="131" t="str">
        <f t="shared" si="1034"/>
        <v/>
      </c>
      <c r="AM171" s="131" t="str">
        <f t="shared" si="1035"/>
        <v/>
      </c>
      <c r="AN171" s="131" t="str">
        <f t="shared" si="1036"/>
        <v/>
      </c>
      <c r="AO171" s="131" t="str">
        <f t="shared" si="1037"/>
        <v/>
      </c>
      <c r="AP171" s="131" t="str">
        <f t="shared" si="1038"/>
        <v/>
      </c>
      <c r="AQ171" s="131" t="str">
        <f t="shared" si="1039"/>
        <v/>
      </c>
      <c r="AR171" s="131" t="str">
        <f t="shared" si="1040"/>
        <v/>
      </c>
      <c r="AS171" s="131" t="str">
        <f t="shared" si="1041"/>
        <v/>
      </c>
      <c r="AT171" s="131" t="str">
        <f t="shared" si="1042"/>
        <v/>
      </c>
      <c r="AU171" s="131" t="str">
        <f t="shared" si="1043"/>
        <v/>
      </c>
      <c r="AV171" s="131" t="str">
        <f t="shared" si="1044"/>
        <v/>
      </c>
      <c r="AW171" s="131" t="str">
        <f t="shared" si="1045"/>
        <v/>
      </c>
      <c r="AX171" s="131" t="str">
        <f t="shared" si="1046"/>
        <v/>
      </c>
      <c r="AY171" s="13"/>
      <c r="AZ171" s="10"/>
    </row>
    <row r="172" spans="12:52" ht="16.5" customHeight="1" x14ac:dyDescent="0.3">
      <c r="L172" s="6"/>
      <c r="M172" s="5"/>
      <c r="N172" s="5"/>
      <c r="O172" s="51">
        <f t="shared" si="1048"/>
        <v>42</v>
      </c>
      <c r="P172" s="131" t="str">
        <f t="shared" si="1049"/>
        <v/>
      </c>
      <c r="Q172" s="131" t="str">
        <f t="shared" si="1013"/>
        <v/>
      </c>
      <c r="R172" s="131" t="str">
        <f t="shared" si="1014"/>
        <v/>
      </c>
      <c r="S172" s="131" t="str">
        <f t="shared" si="1015"/>
        <v/>
      </c>
      <c r="T172" s="131" t="str">
        <f t="shared" si="1016"/>
        <v/>
      </c>
      <c r="U172" s="131" t="str">
        <f t="shared" si="1017"/>
        <v/>
      </c>
      <c r="V172" s="131" t="str">
        <f t="shared" si="1018"/>
        <v/>
      </c>
      <c r="W172" s="131" t="str">
        <f t="shared" si="1019"/>
        <v/>
      </c>
      <c r="X172" s="131" t="str">
        <f t="shared" si="1020"/>
        <v/>
      </c>
      <c r="Y172" s="131" t="str">
        <f t="shared" si="1021"/>
        <v/>
      </c>
      <c r="Z172" s="131" t="str">
        <f t="shared" si="1022"/>
        <v/>
      </c>
      <c r="AA172" s="131" t="str">
        <f t="shared" si="1023"/>
        <v/>
      </c>
      <c r="AB172" s="131" t="str">
        <f t="shared" si="1024"/>
        <v/>
      </c>
      <c r="AC172" s="131" t="str">
        <f t="shared" si="1025"/>
        <v/>
      </c>
      <c r="AD172" s="131" t="str">
        <f t="shared" si="1026"/>
        <v/>
      </c>
      <c r="AE172" s="131" t="str">
        <f t="shared" si="1027"/>
        <v/>
      </c>
      <c r="AF172" s="131" t="str">
        <f t="shared" si="1028"/>
        <v/>
      </c>
      <c r="AG172" s="131" t="str">
        <f t="shared" si="1029"/>
        <v/>
      </c>
      <c r="AH172" s="131" t="str">
        <f t="shared" si="1030"/>
        <v/>
      </c>
      <c r="AI172" s="131" t="str">
        <f t="shared" si="1031"/>
        <v/>
      </c>
      <c r="AJ172" s="131" t="str">
        <f t="shared" si="1032"/>
        <v/>
      </c>
      <c r="AK172" s="131">
        <f t="shared" si="1033"/>
        <v>41</v>
      </c>
      <c r="AL172" s="131" t="str">
        <f t="shared" si="1034"/>
        <v/>
      </c>
      <c r="AM172" s="131" t="str">
        <f t="shared" si="1035"/>
        <v/>
      </c>
      <c r="AN172" s="131" t="str">
        <f t="shared" si="1036"/>
        <v/>
      </c>
      <c r="AO172" s="131" t="str">
        <f t="shared" si="1037"/>
        <v/>
      </c>
      <c r="AP172" s="131" t="str">
        <f t="shared" si="1038"/>
        <v/>
      </c>
      <c r="AQ172" s="131" t="str">
        <f t="shared" si="1039"/>
        <v/>
      </c>
      <c r="AR172" s="131" t="str">
        <f t="shared" si="1040"/>
        <v/>
      </c>
      <c r="AS172" s="131" t="str">
        <f t="shared" si="1041"/>
        <v/>
      </c>
      <c r="AT172" s="131" t="str">
        <f t="shared" si="1042"/>
        <v/>
      </c>
      <c r="AU172" s="131" t="str">
        <f t="shared" si="1043"/>
        <v/>
      </c>
      <c r="AV172" s="131" t="str">
        <f t="shared" si="1044"/>
        <v/>
      </c>
      <c r="AW172" s="131" t="str">
        <f t="shared" si="1045"/>
        <v/>
      </c>
      <c r="AX172" s="131" t="str">
        <f t="shared" si="1046"/>
        <v/>
      </c>
      <c r="AY172" s="13"/>
      <c r="AZ172" s="10"/>
    </row>
    <row r="173" spans="12:52" ht="16.5" customHeight="1" x14ac:dyDescent="0.3">
      <c r="L173" s="6"/>
      <c r="M173" s="5"/>
      <c r="N173" s="5"/>
      <c r="O173" s="51">
        <f t="shared" si="1048"/>
        <v>40</v>
      </c>
      <c r="P173" s="131" t="str">
        <f t="shared" si="1049"/>
        <v/>
      </c>
      <c r="Q173" s="131" t="str">
        <f t="shared" si="1013"/>
        <v/>
      </c>
      <c r="R173" s="131" t="str">
        <f t="shared" si="1014"/>
        <v/>
      </c>
      <c r="S173" s="131" t="str">
        <f t="shared" si="1015"/>
        <v/>
      </c>
      <c r="T173" s="131" t="str">
        <f t="shared" si="1016"/>
        <v/>
      </c>
      <c r="U173" s="131" t="str">
        <f t="shared" si="1017"/>
        <v/>
      </c>
      <c r="V173" s="131" t="str">
        <f t="shared" si="1018"/>
        <v/>
      </c>
      <c r="W173" s="131" t="str">
        <f t="shared" si="1019"/>
        <v/>
      </c>
      <c r="X173" s="131" t="str">
        <f t="shared" si="1020"/>
        <v/>
      </c>
      <c r="Y173" s="131" t="str">
        <f t="shared" si="1021"/>
        <v/>
      </c>
      <c r="Z173" s="131" t="str">
        <f t="shared" si="1022"/>
        <v/>
      </c>
      <c r="AA173" s="131" t="str">
        <f t="shared" si="1023"/>
        <v/>
      </c>
      <c r="AB173" s="131" t="str">
        <f t="shared" si="1024"/>
        <v/>
      </c>
      <c r="AC173" s="131" t="str">
        <f t="shared" si="1025"/>
        <v/>
      </c>
      <c r="AD173" s="131" t="str">
        <f t="shared" si="1026"/>
        <v/>
      </c>
      <c r="AE173" s="131" t="str">
        <f t="shared" si="1027"/>
        <v/>
      </c>
      <c r="AF173" s="131" t="str">
        <f t="shared" si="1028"/>
        <v/>
      </c>
      <c r="AG173" s="131">
        <f t="shared" si="1029"/>
        <v>40</v>
      </c>
      <c r="AH173" s="131" t="str">
        <f t="shared" si="1030"/>
        <v/>
      </c>
      <c r="AI173" s="131" t="str">
        <f t="shared" si="1031"/>
        <v/>
      </c>
      <c r="AJ173" s="131" t="str">
        <f t="shared" si="1032"/>
        <v/>
      </c>
      <c r="AK173" s="131" t="str">
        <f t="shared" si="1033"/>
        <v/>
      </c>
      <c r="AL173" s="131" t="str">
        <f t="shared" si="1034"/>
        <v/>
      </c>
      <c r="AM173" s="131">
        <f t="shared" si="1035"/>
        <v>40</v>
      </c>
      <c r="AN173" s="131" t="str">
        <f t="shared" si="1036"/>
        <v/>
      </c>
      <c r="AO173" s="131" t="str">
        <f t="shared" si="1037"/>
        <v/>
      </c>
      <c r="AP173" s="131" t="str">
        <f t="shared" si="1038"/>
        <v/>
      </c>
      <c r="AQ173" s="131" t="str">
        <f t="shared" si="1039"/>
        <v/>
      </c>
      <c r="AR173" s="131" t="str">
        <f t="shared" si="1040"/>
        <v/>
      </c>
      <c r="AS173" s="131" t="str">
        <f t="shared" si="1041"/>
        <v/>
      </c>
      <c r="AT173" s="131" t="str">
        <f t="shared" si="1042"/>
        <v/>
      </c>
      <c r="AU173" s="131" t="str">
        <f t="shared" si="1043"/>
        <v/>
      </c>
      <c r="AV173" s="131" t="str">
        <f t="shared" si="1044"/>
        <v/>
      </c>
      <c r="AW173" s="131" t="str">
        <f t="shared" si="1045"/>
        <v/>
      </c>
      <c r="AX173" s="131" t="str">
        <f t="shared" si="1046"/>
        <v/>
      </c>
      <c r="AY173" s="13"/>
      <c r="AZ173" s="10"/>
    </row>
    <row r="174" spans="12:52" ht="16.5" customHeight="1" x14ac:dyDescent="0.3">
      <c r="L174" s="6"/>
      <c r="M174" s="5"/>
      <c r="N174" s="5"/>
      <c r="O174" s="51">
        <f t="shared" si="1048"/>
        <v>38</v>
      </c>
      <c r="P174" s="131" t="str">
        <f t="shared" si="1049"/>
        <v/>
      </c>
      <c r="Q174" s="131" t="str">
        <f t="shared" si="1013"/>
        <v/>
      </c>
      <c r="R174" s="131" t="str">
        <f t="shared" si="1014"/>
        <v/>
      </c>
      <c r="S174" s="131" t="str">
        <f t="shared" si="1015"/>
        <v/>
      </c>
      <c r="T174" s="131" t="str">
        <f t="shared" si="1016"/>
        <v/>
      </c>
      <c r="U174" s="131" t="str">
        <f t="shared" si="1017"/>
        <v/>
      </c>
      <c r="V174" s="131" t="str">
        <f t="shared" si="1018"/>
        <v/>
      </c>
      <c r="W174" s="131" t="str">
        <f t="shared" si="1019"/>
        <v/>
      </c>
      <c r="X174" s="131" t="str">
        <f t="shared" si="1020"/>
        <v/>
      </c>
      <c r="Y174" s="131" t="str">
        <f t="shared" si="1021"/>
        <v/>
      </c>
      <c r="Z174" s="131" t="str">
        <f t="shared" si="1022"/>
        <v/>
      </c>
      <c r="AA174" s="131" t="str">
        <f t="shared" si="1023"/>
        <v/>
      </c>
      <c r="AB174" s="131" t="str">
        <f t="shared" si="1024"/>
        <v/>
      </c>
      <c r="AC174" s="131" t="str">
        <f t="shared" si="1025"/>
        <v/>
      </c>
      <c r="AD174" s="131" t="str">
        <f t="shared" si="1026"/>
        <v/>
      </c>
      <c r="AE174" s="131" t="str">
        <f t="shared" si="1027"/>
        <v/>
      </c>
      <c r="AF174" s="131" t="str">
        <f t="shared" si="1028"/>
        <v/>
      </c>
      <c r="AG174" s="131" t="str">
        <f t="shared" si="1029"/>
        <v/>
      </c>
      <c r="AH174" s="131" t="str">
        <f t="shared" si="1030"/>
        <v/>
      </c>
      <c r="AI174" s="131" t="str">
        <f t="shared" si="1031"/>
        <v/>
      </c>
      <c r="AJ174" s="131" t="str">
        <f t="shared" si="1032"/>
        <v/>
      </c>
      <c r="AK174" s="131" t="str">
        <f t="shared" si="1033"/>
        <v/>
      </c>
      <c r="AL174" s="131" t="str">
        <f t="shared" si="1034"/>
        <v/>
      </c>
      <c r="AM174" s="131" t="str">
        <f t="shared" si="1035"/>
        <v/>
      </c>
      <c r="AN174" s="131">
        <f t="shared" si="1036"/>
        <v>37</v>
      </c>
      <c r="AO174" s="131" t="str">
        <f t="shared" si="1037"/>
        <v/>
      </c>
      <c r="AP174" s="131" t="str">
        <f t="shared" si="1038"/>
        <v/>
      </c>
      <c r="AQ174" s="131" t="str">
        <f t="shared" si="1039"/>
        <v/>
      </c>
      <c r="AR174" s="131" t="str">
        <f t="shared" si="1040"/>
        <v/>
      </c>
      <c r="AS174" s="131" t="str">
        <f t="shared" si="1041"/>
        <v/>
      </c>
      <c r="AT174" s="131" t="str">
        <f t="shared" si="1042"/>
        <v/>
      </c>
      <c r="AU174" s="131" t="str">
        <f t="shared" si="1043"/>
        <v/>
      </c>
      <c r="AV174" s="131" t="str">
        <f t="shared" si="1044"/>
        <v/>
      </c>
      <c r="AW174" s="131" t="str">
        <f t="shared" si="1045"/>
        <v/>
      </c>
      <c r="AX174" s="131" t="str">
        <f t="shared" si="1046"/>
        <v/>
      </c>
      <c r="AY174" s="13"/>
      <c r="AZ174" s="10"/>
    </row>
    <row r="175" spans="12:52" ht="16.5" customHeight="1" x14ac:dyDescent="0.3">
      <c r="L175" s="6"/>
      <c r="M175" s="5"/>
      <c r="N175" s="5"/>
      <c r="O175" s="51">
        <f t="shared" si="1048"/>
        <v>36</v>
      </c>
      <c r="P175" s="131" t="str">
        <f t="shared" si="1049"/>
        <v/>
      </c>
      <c r="Q175" s="131" t="str">
        <f t="shared" si="1013"/>
        <v/>
      </c>
      <c r="R175" s="131" t="str">
        <f t="shared" si="1014"/>
        <v/>
      </c>
      <c r="S175" s="131" t="str">
        <f t="shared" si="1015"/>
        <v/>
      </c>
      <c r="T175" s="131" t="str">
        <f t="shared" si="1016"/>
        <v/>
      </c>
      <c r="U175" s="131" t="str">
        <f t="shared" si="1017"/>
        <v/>
      </c>
      <c r="V175" s="131" t="str">
        <f t="shared" si="1018"/>
        <v/>
      </c>
      <c r="W175" s="131" t="str">
        <f t="shared" si="1019"/>
        <v/>
      </c>
      <c r="X175" s="131" t="str">
        <f t="shared" si="1020"/>
        <v/>
      </c>
      <c r="Y175" s="131" t="str">
        <f t="shared" si="1021"/>
        <v/>
      </c>
      <c r="Z175" s="131" t="str">
        <f t="shared" si="1022"/>
        <v/>
      </c>
      <c r="AA175" s="131" t="str">
        <f t="shared" si="1023"/>
        <v/>
      </c>
      <c r="AB175" s="131" t="str">
        <f t="shared" si="1024"/>
        <v/>
      </c>
      <c r="AC175" s="131" t="str">
        <f t="shared" si="1025"/>
        <v/>
      </c>
      <c r="AD175" s="131" t="str">
        <f t="shared" si="1026"/>
        <v/>
      </c>
      <c r="AE175" s="131" t="str">
        <f t="shared" si="1027"/>
        <v/>
      </c>
      <c r="AF175" s="131" t="str">
        <f t="shared" si="1028"/>
        <v/>
      </c>
      <c r="AG175" s="131" t="str">
        <f t="shared" si="1029"/>
        <v/>
      </c>
      <c r="AH175" s="131" t="str">
        <f t="shared" si="1030"/>
        <v/>
      </c>
      <c r="AI175" s="131" t="str">
        <f t="shared" si="1031"/>
        <v/>
      </c>
      <c r="AJ175" s="131" t="str">
        <f t="shared" si="1032"/>
        <v/>
      </c>
      <c r="AK175" s="131" t="str">
        <f t="shared" si="1033"/>
        <v/>
      </c>
      <c r="AL175" s="131" t="str">
        <f t="shared" si="1034"/>
        <v/>
      </c>
      <c r="AM175" s="131" t="str">
        <f t="shared" si="1035"/>
        <v/>
      </c>
      <c r="AN175" s="131" t="str">
        <f t="shared" si="1036"/>
        <v/>
      </c>
      <c r="AO175" s="131" t="str">
        <f t="shared" si="1037"/>
        <v/>
      </c>
      <c r="AP175" s="131">
        <f t="shared" si="1038"/>
        <v>35</v>
      </c>
      <c r="AQ175" s="131" t="str">
        <f t="shared" si="1039"/>
        <v/>
      </c>
      <c r="AR175" s="131" t="str">
        <f t="shared" si="1040"/>
        <v/>
      </c>
      <c r="AS175" s="131" t="str">
        <f t="shared" si="1041"/>
        <v/>
      </c>
      <c r="AT175" s="131" t="str">
        <f t="shared" si="1042"/>
        <v/>
      </c>
      <c r="AU175" s="131" t="str">
        <f t="shared" si="1043"/>
        <v/>
      </c>
      <c r="AV175" s="131" t="str">
        <f t="shared" si="1044"/>
        <v/>
      </c>
      <c r="AW175" s="131" t="str">
        <f t="shared" si="1045"/>
        <v/>
      </c>
      <c r="AX175" s="131" t="str">
        <f t="shared" si="1046"/>
        <v/>
      </c>
      <c r="AY175" s="13"/>
      <c r="AZ175" s="10"/>
    </row>
    <row r="176" spans="12:52" ht="16.5" customHeight="1" x14ac:dyDescent="0.3">
      <c r="L176" s="6"/>
      <c r="M176" s="5"/>
      <c r="N176" s="5"/>
      <c r="O176" s="51">
        <f t="shared" si="1048"/>
        <v>34</v>
      </c>
      <c r="P176" s="131" t="str">
        <f t="shared" si="1049"/>
        <v/>
      </c>
      <c r="Q176" s="131" t="str">
        <f t="shared" si="1013"/>
        <v/>
      </c>
      <c r="R176" s="131" t="str">
        <f t="shared" si="1014"/>
        <v/>
      </c>
      <c r="S176" s="131" t="str">
        <f t="shared" si="1015"/>
        <v/>
      </c>
      <c r="T176" s="131" t="str">
        <f t="shared" si="1016"/>
        <v/>
      </c>
      <c r="U176" s="131" t="str">
        <f t="shared" si="1017"/>
        <v/>
      </c>
      <c r="V176" s="131" t="str">
        <f t="shared" si="1018"/>
        <v/>
      </c>
      <c r="W176" s="131" t="str">
        <f t="shared" si="1019"/>
        <v/>
      </c>
      <c r="X176" s="131" t="str">
        <f t="shared" si="1020"/>
        <v/>
      </c>
      <c r="Y176" s="131" t="str">
        <f t="shared" si="1021"/>
        <v/>
      </c>
      <c r="Z176" s="131" t="str">
        <f t="shared" si="1022"/>
        <v/>
      </c>
      <c r="AA176" s="131" t="str">
        <f t="shared" si="1023"/>
        <v/>
      </c>
      <c r="AB176" s="131" t="str">
        <f t="shared" si="1024"/>
        <v/>
      </c>
      <c r="AC176" s="131" t="str">
        <f t="shared" si="1025"/>
        <v/>
      </c>
      <c r="AD176" s="131" t="str">
        <f t="shared" si="1026"/>
        <v/>
      </c>
      <c r="AE176" s="131" t="str">
        <f t="shared" si="1027"/>
        <v/>
      </c>
      <c r="AF176" s="131" t="str">
        <f t="shared" si="1028"/>
        <v/>
      </c>
      <c r="AG176" s="131" t="str">
        <f t="shared" si="1029"/>
        <v/>
      </c>
      <c r="AH176" s="131" t="str">
        <f t="shared" si="1030"/>
        <v/>
      </c>
      <c r="AI176" s="131">
        <f t="shared" si="1031"/>
        <v>33</v>
      </c>
      <c r="AJ176" s="131" t="str">
        <f t="shared" si="1032"/>
        <v/>
      </c>
      <c r="AK176" s="131" t="str">
        <f t="shared" si="1033"/>
        <v/>
      </c>
      <c r="AL176" s="131" t="str">
        <f t="shared" si="1034"/>
        <v/>
      </c>
      <c r="AM176" s="131" t="str">
        <f t="shared" si="1035"/>
        <v/>
      </c>
      <c r="AN176" s="131" t="str">
        <f t="shared" si="1036"/>
        <v/>
      </c>
      <c r="AO176" s="131" t="str">
        <f t="shared" si="1037"/>
        <v/>
      </c>
      <c r="AP176" s="131" t="str">
        <f t="shared" si="1038"/>
        <v/>
      </c>
      <c r="AQ176" s="131" t="str">
        <f t="shared" si="1039"/>
        <v/>
      </c>
      <c r="AR176" s="131" t="str">
        <f t="shared" si="1040"/>
        <v/>
      </c>
      <c r="AS176" s="131" t="str">
        <f t="shared" si="1041"/>
        <v/>
      </c>
      <c r="AT176" s="131" t="str">
        <f t="shared" si="1042"/>
        <v/>
      </c>
      <c r="AU176" s="131" t="str">
        <f t="shared" si="1043"/>
        <v/>
      </c>
      <c r="AV176" s="131" t="str">
        <f t="shared" si="1044"/>
        <v/>
      </c>
      <c r="AW176" s="131" t="str">
        <f t="shared" si="1045"/>
        <v/>
      </c>
      <c r="AX176" s="131" t="str">
        <f t="shared" si="1046"/>
        <v/>
      </c>
      <c r="AY176" s="13"/>
      <c r="AZ176" s="10"/>
    </row>
    <row r="177" spans="12:52" ht="16.5" customHeight="1" x14ac:dyDescent="0.3">
      <c r="L177" s="6"/>
      <c r="M177" s="5"/>
      <c r="N177" s="5"/>
      <c r="O177" s="51">
        <f t="shared" si="1048"/>
        <v>32</v>
      </c>
      <c r="P177" s="131" t="str">
        <f t="shared" si="1049"/>
        <v/>
      </c>
      <c r="Q177" s="131" t="str">
        <f t="shared" si="1013"/>
        <v/>
      </c>
      <c r="R177" s="131" t="str">
        <f t="shared" si="1014"/>
        <v/>
      </c>
      <c r="S177" s="131" t="str">
        <f t="shared" si="1015"/>
        <v/>
      </c>
      <c r="T177" s="131" t="str">
        <f t="shared" si="1016"/>
        <v/>
      </c>
      <c r="U177" s="131" t="str">
        <f t="shared" si="1017"/>
        <v/>
      </c>
      <c r="V177" s="131" t="str">
        <f t="shared" si="1018"/>
        <v/>
      </c>
      <c r="W177" s="131" t="str">
        <f t="shared" si="1019"/>
        <v/>
      </c>
      <c r="X177" s="131" t="str">
        <f t="shared" si="1020"/>
        <v/>
      </c>
      <c r="Y177" s="131" t="str">
        <f t="shared" si="1021"/>
        <v/>
      </c>
      <c r="Z177" s="131" t="str">
        <f t="shared" si="1022"/>
        <v/>
      </c>
      <c r="AA177" s="131" t="str">
        <f t="shared" si="1023"/>
        <v/>
      </c>
      <c r="AB177" s="131" t="str">
        <f t="shared" si="1024"/>
        <v/>
      </c>
      <c r="AC177" s="131" t="str">
        <f t="shared" si="1025"/>
        <v/>
      </c>
      <c r="AD177" s="131" t="str">
        <f t="shared" si="1026"/>
        <v/>
      </c>
      <c r="AE177" s="131" t="str">
        <f t="shared" si="1027"/>
        <v/>
      </c>
      <c r="AF177" s="131" t="str">
        <f t="shared" si="1028"/>
        <v/>
      </c>
      <c r="AG177" s="131" t="str">
        <f t="shared" si="1029"/>
        <v/>
      </c>
      <c r="AH177" s="131" t="str">
        <f t="shared" si="1030"/>
        <v/>
      </c>
      <c r="AI177" s="131" t="str">
        <f t="shared" si="1031"/>
        <v/>
      </c>
      <c r="AJ177" s="131" t="str">
        <f t="shared" si="1032"/>
        <v/>
      </c>
      <c r="AK177" s="131" t="str">
        <f t="shared" si="1033"/>
        <v/>
      </c>
      <c r="AL177" s="131" t="str">
        <f t="shared" si="1034"/>
        <v/>
      </c>
      <c r="AM177" s="131" t="str">
        <f t="shared" si="1035"/>
        <v/>
      </c>
      <c r="AN177" s="131" t="str">
        <f t="shared" si="1036"/>
        <v/>
      </c>
      <c r="AO177" s="131" t="str">
        <f t="shared" si="1037"/>
        <v/>
      </c>
      <c r="AP177" s="131" t="str">
        <f t="shared" si="1038"/>
        <v/>
      </c>
      <c r="AQ177" s="131" t="str">
        <f t="shared" si="1039"/>
        <v/>
      </c>
      <c r="AR177" s="131" t="str">
        <f t="shared" si="1040"/>
        <v/>
      </c>
      <c r="AS177" s="131" t="str">
        <f t="shared" si="1041"/>
        <v/>
      </c>
      <c r="AT177" s="131" t="str">
        <f t="shared" si="1042"/>
        <v/>
      </c>
      <c r="AU177" s="131" t="str">
        <f t="shared" si="1043"/>
        <v/>
      </c>
      <c r="AV177" s="131" t="str">
        <f t="shared" si="1044"/>
        <v/>
      </c>
      <c r="AW177" s="131" t="str">
        <f t="shared" si="1045"/>
        <v/>
      </c>
      <c r="AX177" s="131" t="str">
        <f t="shared" si="1046"/>
        <v/>
      </c>
      <c r="AY177" s="13"/>
      <c r="AZ177" s="10"/>
    </row>
    <row r="178" spans="12:52" ht="16.5" customHeight="1" x14ac:dyDescent="0.3">
      <c r="L178" s="6"/>
      <c r="M178" s="5"/>
      <c r="N178" s="5"/>
      <c r="O178" s="51">
        <f t="shared" si="1048"/>
        <v>30</v>
      </c>
      <c r="P178" s="131" t="str">
        <f t="shared" si="1049"/>
        <v/>
      </c>
      <c r="Q178" s="131" t="str">
        <f t="shared" si="1013"/>
        <v/>
      </c>
      <c r="R178" s="131" t="str">
        <f t="shared" si="1014"/>
        <v/>
      </c>
      <c r="S178" s="131" t="str">
        <f t="shared" si="1015"/>
        <v/>
      </c>
      <c r="T178" s="131" t="str">
        <f t="shared" si="1016"/>
        <v/>
      </c>
      <c r="U178" s="131" t="str">
        <f t="shared" si="1017"/>
        <v/>
      </c>
      <c r="V178" s="131" t="str">
        <f t="shared" si="1018"/>
        <v/>
      </c>
      <c r="W178" s="131" t="str">
        <f t="shared" si="1019"/>
        <v/>
      </c>
      <c r="X178" s="131" t="str">
        <f t="shared" si="1020"/>
        <v/>
      </c>
      <c r="Y178" s="131" t="str">
        <f t="shared" si="1021"/>
        <v/>
      </c>
      <c r="Z178" s="131" t="str">
        <f t="shared" si="1022"/>
        <v/>
      </c>
      <c r="AA178" s="131" t="str">
        <f t="shared" si="1023"/>
        <v/>
      </c>
      <c r="AB178" s="131" t="str">
        <f t="shared" si="1024"/>
        <v/>
      </c>
      <c r="AC178" s="131" t="str">
        <f t="shared" si="1025"/>
        <v/>
      </c>
      <c r="AD178" s="131" t="str">
        <f t="shared" si="1026"/>
        <v/>
      </c>
      <c r="AE178" s="131" t="str">
        <f t="shared" si="1027"/>
        <v/>
      </c>
      <c r="AF178" s="131" t="str">
        <f t="shared" si="1028"/>
        <v/>
      </c>
      <c r="AG178" s="131" t="str">
        <f t="shared" si="1029"/>
        <v/>
      </c>
      <c r="AH178" s="131" t="str">
        <f t="shared" si="1030"/>
        <v/>
      </c>
      <c r="AI178" s="131" t="str">
        <f t="shared" si="1031"/>
        <v/>
      </c>
      <c r="AJ178" s="131" t="str">
        <f t="shared" si="1032"/>
        <v/>
      </c>
      <c r="AK178" s="131" t="str">
        <f t="shared" si="1033"/>
        <v/>
      </c>
      <c r="AL178" s="131">
        <f t="shared" si="1034"/>
        <v>30</v>
      </c>
      <c r="AM178" s="131" t="str">
        <f t="shared" si="1035"/>
        <v/>
      </c>
      <c r="AN178" s="131" t="str">
        <f t="shared" si="1036"/>
        <v/>
      </c>
      <c r="AO178" s="131" t="str">
        <f t="shared" si="1037"/>
        <v/>
      </c>
      <c r="AP178" s="131" t="str">
        <f t="shared" si="1038"/>
        <v/>
      </c>
      <c r="AQ178" s="131" t="str">
        <f t="shared" si="1039"/>
        <v/>
      </c>
      <c r="AR178" s="131">
        <f t="shared" si="1040"/>
        <v>29</v>
      </c>
      <c r="AS178" s="131" t="str">
        <f t="shared" si="1041"/>
        <v/>
      </c>
      <c r="AT178" s="131" t="str">
        <f t="shared" si="1042"/>
        <v/>
      </c>
      <c r="AU178" s="131" t="str">
        <f t="shared" si="1043"/>
        <v/>
      </c>
      <c r="AV178" s="131" t="str">
        <f t="shared" si="1044"/>
        <v/>
      </c>
      <c r="AW178" s="131" t="str">
        <f t="shared" si="1045"/>
        <v/>
      </c>
      <c r="AX178" s="131" t="str">
        <f t="shared" si="1046"/>
        <v/>
      </c>
      <c r="AY178" s="13"/>
      <c r="AZ178" s="10"/>
    </row>
    <row r="179" spans="12:52" ht="16.5" customHeight="1" x14ac:dyDescent="0.3">
      <c r="L179" s="6"/>
      <c r="M179" s="5"/>
      <c r="N179" s="5"/>
      <c r="O179" s="51">
        <f t="shared" si="1048"/>
        <v>28</v>
      </c>
      <c r="P179" s="131" t="str">
        <f t="shared" si="1049"/>
        <v/>
      </c>
      <c r="Q179" s="131" t="str">
        <f t="shared" si="1013"/>
        <v/>
      </c>
      <c r="R179" s="131" t="str">
        <f t="shared" si="1014"/>
        <v/>
      </c>
      <c r="S179" s="131" t="str">
        <f t="shared" si="1015"/>
        <v/>
      </c>
      <c r="T179" s="131" t="str">
        <f t="shared" si="1016"/>
        <v/>
      </c>
      <c r="U179" s="131" t="str">
        <f t="shared" si="1017"/>
        <v/>
      </c>
      <c r="V179" s="131" t="str">
        <f t="shared" si="1018"/>
        <v/>
      </c>
      <c r="W179" s="131" t="str">
        <f t="shared" si="1019"/>
        <v/>
      </c>
      <c r="X179" s="131" t="str">
        <f t="shared" si="1020"/>
        <v/>
      </c>
      <c r="Y179" s="131" t="str">
        <f t="shared" si="1021"/>
        <v/>
      </c>
      <c r="Z179" s="131" t="str">
        <f t="shared" si="1022"/>
        <v/>
      </c>
      <c r="AA179" s="131" t="str">
        <f t="shared" si="1023"/>
        <v/>
      </c>
      <c r="AB179" s="131" t="str">
        <f t="shared" si="1024"/>
        <v/>
      </c>
      <c r="AC179" s="131" t="str">
        <f t="shared" si="1025"/>
        <v/>
      </c>
      <c r="AD179" s="131" t="str">
        <f t="shared" si="1026"/>
        <v/>
      </c>
      <c r="AE179" s="131" t="str">
        <f t="shared" si="1027"/>
        <v/>
      </c>
      <c r="AF179" s="131" t="str">
        <f t="shared" si="1028"/>
        <v/>
      </c>
      <c r="AG179" s="131" t="str">
        <f t="shared" si="1029"/>
        <v/>
      </c>
      <c r="AH179" s="131" t="str">
        <f t="shared" si="1030"/>
        <v/>
      </c>
      <c r="AI179" s="131" t="str">
        <f t="shared" si="1031"/>
        <v/>
      </c>
      <c r="AJ179" s="131" t="str">
        <f t="shared" si="1032"/>
        <v/>
      </c>
      <c r="AK179" s="131" t="str">
        <f t="shared" si="1033"/>
        <v/>
      </c>
      <c r="AL179" s="131" t="str">
        <f t="shared" si="1034"/>
        <v/>
      </c>
      <c r="AM179" s="131" t="str">
        <f t="shared" si="1035"/>
        <v/>
      </c>
      <c r="AN179" s="131" t="str">
        <f t="shared" si="1036"/>
        <v/>
      </c>
      <c r="AO179" s="131" t="str">
        <f t="shared" si="1037"/>
        <v/>
      </c>
      <c r="AP179" s="131" t="str">
        <f t="shared" si="1038"/>
        <v/>
      </c>
      <c r="AQ179" s="131" t="str">
        <f t="shared" si="1039"/>
        <v/>
      </c>
      <c r="AR179" s="131" t="str">
        <f t="shared" si="1040"/>
        <v/>
      </c>
      <c r="AS179" s="131" t="str">
        <f t="shared" si="1041"/>
        <v/>
      </c>
      <c r="AT179" s="131" t="str">
        <f t="shared" si="1042"/>
        <v/>
      </c>
      <c r="AU179" s="131" t="str">
        <f t="shared" si="1043"/>
        <v/>
      </c>
      <c r="AV179" s="131" t="str">
        <f t="shared" si="1044"/>
        <v/>
      </c>
      <c r="AW179" s="131" t="str">
        <f t="shared" si="1045"/>
        <v/>
      </c>
      <c r="AX179" s="131" t="str">
        <f t="shared" si="1046"/>
        <v/>
      </c>
      <c r="AY179" s="13"/>
      <c r="AZ179" s="10"/>
    </row>
    <row r="180" spans="12:52" ht="16.5" customHeight="1" x14ac:dyDescent="0.3">
      <c r="L180" s="6"/>
      <c r="M180" s="5"/>
      <c r="N180" s="5"/>
      <c r="O180" s="51">
        <f t="shared" si="1048"/>
        <v>26</v>
      </c>
      <c r="P180" s="131" t="str">
        <f t="shared" si="1049"/>
        <v/>
      </c>
      <c r="Q180" s="131" t="str">
        <f t="shared" si="1013"/>
        <v/>
      </c>
      <c r="R180" s="131" t="str">
        <f t="shared" si="1014"/>
        <v/>
      </c>
      <c r="S180" s="131" t="str">
        <f t="shared" si="1015"/>
        <v/>
      </c>
      <c r="T180" s="131" t="str">
        <f t="shared" si="1016"/>
        <v/>
      </c>
      <c r="U180" s="131" t="str">
        <f t="shared" si="1017"/>
        <v/>
      </c>
      <c r="V180" s="131" t="str">
        <f t="shared" si="1018"/>
        <v/>
      </c>
      <c r="W180" s="131" t="str">
        <f t="shared" si="1019"/>
        <v/>
      </c>
      <c r="X180" s="131" t="str">
        <f t="shared" si="1020"/>
        <v/>
      </c>
      <c r="Y180" s="131" t="str">
        <f t="shared" si="1021"/>
        <v/>
      </c>
      <c r="Z180" s="131" t="str">
        <f t="shared" si="1022"/>
        <v/>
      </c>
      <c r="AA180" s="131" t="str">
        <f t="shared" si="1023"/>
        <v/>
      </c>
      <c r="AB180" s="131" t="str">
        <f t="shared" si="1024"/>
        <v/>
      </c>
      <c r="AC180" s="131" t="str">
        <f t="shared" si="1025"/>
        <v/>
      </c>
      <c r="AD180" s="131" t="str">
        <f t="shared" si="1026"/>
        <v/>
      </c>
      <c r="AE180" s="131" t="str">
        <f t="shared" si="1027"/>
        <v/>
      </c>
      <c r="AF180" s="131" t="str">
        <f t="shared" si="1028"/>
        <v/>
      </c>
      <c r="AG180" s="131" t="str">
        <f t="shared" si="1029"/>
        <v/>
      </c>
      <c r="AH180" s="131" t="str">
        <f t="shared" si="1030"/>
        <v/>
      </c>
      <c r="AI180" s="131" t="str">
        <f t="shared" si="1031"/>
        <v/>
      </c>
      <c r="AJ180" s="131" t="str">
        <f t="shared" si="1032"/>
        <v/>
      </c>
      <c r="AK180" s="131" t="str">
        <f t="shared" si="1033"/>
        <v/>
      </c>
      <c r="AL180" s="131" t="str">
        <f t="shared" si="1034"/>
        <v/>
      </c>
      <c r="AM180" s="131" t="str">
        <f t="shared" si="1035"/>
        <v/>
      </c>
      <c r="AN180" s="131" t="str">
        <f t="shared" si="1036"/>
        <v/>
      </c>
      <c r="AO180" s="131" t="str">
        <f t="shared" si="1037"/>
        <v/>
      </c>
      <c r="AP180" s="131" t="str">
        <f t="shared" si="1038"/>
        <v/>
      </c>
      <c r="AQ180" s="131" t="str">
        <f t="shared" si="1039"/>
        <v/>
      </c>
      <c r="AR180" s="131" t="str">
        <f t="shared" si="1040"/>
        <v/>
      </c>
      <c r="AS180" s="131" t="str">
        <f t="shared" si="1041"/>
        <v/>
      </c>
      <c r="AT180" s="131">
        <f t="shared" si="1042"/>
        <v>25</v>
      </c>
      <c r="AU180" s="131">
        <f t="shared" si="1043"/>
        <v>25</v>
      </c>
      <c r="AV180" s="131" t="str">
        <f t="shared" si="1044"/>
        <v/>
      </c>
      <c r="AW180" s="131" t="str">
        <f t="shared" si="1045"/>
        <v/>
      </c>
      <c r="AX180" s="131" t="str">
        <f t="shared" si="1046"/>
        <v/>
      </c>
      <c r="AY180" s="13"/>
      <c r="AZ180" s="10"/>
    </row>
    <row r="181" spans="12:52" ht="16.5" customHeight="1" x14ac:dyDescent="0.3">
      <c r="L181" s="6"/>
      <c r="M181" s="5"/>
      <c r="N181" s="5"/>
      <c r="O181" s="51">
        <f t="shared" si="1048"/>
        <v>24</v>
      </c>
      <c r="P181" s="131" t="str">
        <f t="shared" si="1049"/>
        <v/>
      </c>
      <c r="Q181" s="131" t="str">
        <f t="shared" si="1013"/>
        <v/>
      </c>
      <c r="R181" s="131">
        <f t="shared" si="1014"/>
        <v>24</v>
      </c>
      <c r="S181" s="131">
        <f t="shared" si="1015"/>
        <v>24</v>
      </c>
      <c r="T181" s="131">
        <f t="shared" si="1016"/>
        <v>24</v>
      </c>
      <c r="U181" s="131">
        <f t="shared" si="1017"/>
        <v>24</v>
      </c>
      <c r="V181" s="131">
        <f t="shared" si="1018"/>
        <v>24</v>
      </c>
      <c r="W181" s="131">
        <f t="shared" si="1019"/>
        <v>24</v>
      </c>
      <c r="X181" s="131">
        <f t="shared" si="1020"/>
        <v>24</v>
      </c>
      <c r="Y181" s="131">
        <f t="shared" si="1021"/>
        <v>24</v>
      </c>
      <c r="Z181" s="131">
        <f t="shared" si="1022"/>
        <v>24</v>
      </c>
      <c r="AA181" s="131" t="str">
        <f t="shared" si="1023"/>
        <v/>
      </c>
      <c r="AB181" s="131" t="str">
        <f t="shared" si="1024"/>
        <v/>
      </c>
      <c r="AC181" s="131" t="str">
        <f t="shared" si="1025"/>
        <v/>
      </c>
      <c r="AD181" s="131" t="str">
        <f t="shared" si="1026"/>
        <v/>
      </c>
      <c r="AE181" s="131" t="str">
        <f t="shared" si="1027"/>
        <v/>
      </c>
      <c r="AF181" s="131" t="str">
        <f t="shared" si="1028"/>
        <v/>
      </c>
      <c r="AG181" s="131" t="str">
        <f t="shared" si="1029"/>
        <v/>
      </c>
      <c r="AH181" s="131" t="str">
        <f t="shared" si="1030"/>
        <v/>
      </c>
      <c r="AI181" s="131" t="str">
        <f t="shared" si="1031"/>
        <v/>
      </c>
      <c r="AJ181" s="131" t="str">
        <f t="shared" si="1032"/>
        <v/>
      </c>
      <c r="AK181" s="131" t="str">
        <f t="shared" si="1033"/>
        <v/>
      </c>
      <c r="AL181" s="131" t="str">
        <f t="shared" si="1034"/>
        <v/>
      </c>
      <c r="AM181" s="131" t="str">
        <f t="shared" si="1035"/>
        <v/>
      </c>
      <c r="AN181" s="131" t="str">
        <f t="shared" si="1036"/>
        <v/>
      </c>
      <c r="AO181" s="131" t="str">
        <f t="shared" si="1037"/>
        <v/>
      </c>
      <c r="AP181" s="131" t="str">
        <f t="shared" si="1038"/>
        <v/>
      </c>
      <c r="AQ181" s="131">
        <f t="shared" si="1039"/>
        <v>23</v>
      </c>
      <c r="AR181" s="131" t="str">
        <f t="shared" si="1040"/>
        <v/>
      </c>
      <c r="AS181" s="131" t="str">
        <f t="shared" si="1041"/>
        <v/>
      </c>
      <c r="AT181" s="131" t="str">
        <f t="shared" si="1042"/>
        <v/>
      </c>
      <c r="AU181" s="131" t="str">
        <f t="shared" si="1043"/>
        <v/>
      </c>
      <c r="AV181" s="131" t="str">
        <f t="shared" si="1044"/>
        <v/>
      </c>
      <c r="AW181" s="131" t="str">
        <f t="shared" si="1045"/>
        <v/>
      </c>
      <c r="AX181" s="131" t="str">
        <f t="shared" si="1046"/>
        <v/>
      </c>
      <c r="AY181" s="13"/>
      <c r="AZ181" s="10"/>
    </row>
    <row r="182" spans="12:52" ht="16.5" customHeight="1" x14ac:dyDescent="0.3">
      <c r="L182" s="6"/>
      <c r="M182" s="5"/>
      <c r="N182" s="5"/>
      <c r="O182" s="51">
        <f t="shared" si="1048"/>
        <v>22</v>
      </c>
      <c r="P182" s="131" t="str">
        <f t="shared" si="1049"/>
        <v/>
      </c>
      <c r="Q182" s="131" t="str">
        <f t="shared" si="1013"/>
        <v/>
      </c>
      <c r="R182" s="131" t="str">
        <f t="shared" si="1014"/>
        <v/>
      </c>
      <c r="S182" s="131" t="str">
        <f t="shared" si="1015"/>
        <v/>
      </c>
      <c r="T182" s="131" t="str">
        <f t="shared" si="1016"/>
        <v/>
      </c>
      <c r="U182" s="131" t="str">
        <f t="shared" si="1017"/>
        <v/>
      </c>
      <c r="V182" s="131" t="str">
        <f t="shared" si="1018"/>
        <v/>
      </c>
      <c r="W182" s="131" t="str">
        <f t="shared" si="1019"/>
        <v/>
      </c>
      <c r="X182" s="131" t="str">
        <f t="shared" si="1020"/>
        <v/>
      </c>
      <c r="Y182" s="131" t="str">
        <f t="shared" si="1021"/>
        <v/>
      </c>
      <c r="Z182" s="131" t="str">
        <f t="shared" si="1022"/>
        <v/>
      </c>
      <c r="AA182" s="131" t="str">
        <f t="shared" si="1023"/>
        <v/>
      </c>
      <c r="AB182" s="131" t="str">
        <f t="shared" si="1024"/>
        <v/>
      </c>
      <c r="AC182" s="131" t="str">
        <f t="shared" si="1025"/>
        <v/>
      </c>
      <c r="AD182" s="131" t="str">
        <f t="shared" si="1026"/>
        <v/>
      </c>
      <c r="AE182" s="131" t="str">
        <f t="shared" si="1027"/>
        <v/>
      </c>
      <c r="AF182" s="131" t="str">
        <f t="shared" si="1028"/>
        <v/>
      </c>
      <c r="AG182" s="131" t="str">
        <f t="shared" si="1029"/>
        <v/>
      </c>
      <c r="AH182" s="131" t="str">
        <f t="shared" si="1030"/>
        <v/>
      </c>
      <c r="AI182" s="131" t="str">
        <f t="shared" si="1031"/>
        <v/>
      </c>
      <c r="AJ182" s="131" t="str">
        <f t="shared" si="1032"/>
        <v/>
      </c>
      <c r="AK182" s="131" t="str">
        <f t="shared" si="1033"/>
        <v/>
      </c>
      <c r="AL182" s="131" t="str">
        <f t="shared" si="1034"/>
        <v/>
      </c>
      <c r="AM182" s="131" t="str">
        <f t="shared" si="1035"/>
        <v/>
      </c>
      <c r="AN182" s="131" t="str">
        <f t="shared" si="1036"/>
        <v/>
      </c>
      <c r="AO182" s="131" t="str">
        <f t="shared" si="1037"/>
        <v/>
      </c>
      <c r="AP182" s="131" t="str">
        <f t="shared" si="1038"/>
        <v/>
      </c>
      <c r="AQ182" s="131" t="str">
        <f t="shared" si="1039"/>
        <v/>
      </c>
      <c r="AR182" s="131" t="str">
        <f t="shared" si="1040"/>
        <v/>
      </c>
      <c r="AS182" s="131">
        <f t="shared" si="1041"/>
        <v>21</v>
      </c>
      <c r="AT182" s="131" t="str">
        <f t="shared" si="1042"/>
        <v/>
      </c>
      <c r="AU182" s="131" t="str">
        <f t="shared" si="1043"/>
        <v/>
      </c>
      <c r="AV182" s="131" t="str">
        <f t="shared" si="1044"/>
        <v/>
      </c>
      <c r="AW182" s="131" t="str">
        <f t="shared" si="1045"/>
        <v/>
      </c>
      <c r="AX182" s="131" t="str">
        <f t="shared" si="1046"/>
        <v/>
      </c>
      <c r="AY182" s="13"/>
      <c r="AZ182" s="10"/>
    </row>
    <row r="183" spans="12:52" ht="16.5" customHeight="1" x14ac:dyDescent="0.3">
      <c r="L183" s="6"/>
      <c r="M183" s="5"/>
      <c r="N183" s="5"/>
      <c r="O183" s="51">
        <f t="shared" si="1048"/>
        <v>20</v>
      </c>
      <c r="P183" s="131" t="str">
        <f t="shared" si="1049"/>
        <v/>
      </c>
      <c r="Q183" s="131" t="str">
        <f t="shared" si="1013"/>
        <v/>
      </c>
      <c r="R183" s="131" t="str">
        <f t="shared" si="1014"/>
        <v/>
      </c>
      <c r="S183" s="131" t="str">
        <f t="shared" si="1015"/>
        <v/>
      </c>
      <c r="T183" s="131" t="str">
        <f t="shared" si="1016"/>
        <v/>
      </c>
      <c r="U183" s="131" t="str">
        <f t="shared" si="1017"/>
        <v/>
      </c>
      <c r="V183" s="131" t="str">
        <f t="shared" si="1018"/>
        <v/>
      </c>
      <c r="W183" s="131" t="str">
        <f t="shared" si="1019"/>
        <v/>
      </c>
      <c r="X183" s="131" t="str">
        <f t="shared" si="1020"/>
        <v/>
      </c>
      <c r="Y183" s="131" t="str">
        <f t="shared" si="1021"/>
        <v/>
      </c>
      <c r="Z183" s="131" t="str">
        <f t="shared" si="1022"/>
        <v/>
      </c>
      <c r="AA183" s="131" t="str">
        <f t="shared" si="1023"/>
        <v/>
      </c>
      <c r="AB183" s="131" t="str">
        <f t="shared" si="1024"/>
        <v/>
      </c>
      <c r="AC183" s="131" t="str">
        <f t="shared" si="1025"/>
        <v/>
      </c>
      <c r="AD183" s="131" t="str">
        <f t="shared" si="1026"/>
        <v/>
      </c>
      <c r="AE183" s="131" t="str">
        <f t="shared" si="1027"/>
        <v/>
      </c>
      <c r="AF183" s="131" t="str">
        <f t="shared" si="1028"/>
        <v/>
      </c>
      <c r="AG183" s="131" t="str">
        <f t="shared" si="1029"/>
        <v/>
      </c>
      <c r="AH183" s="131" t="str">
        <f t="shared" si="1030"/>
        <v/>
      </c>
      <c r="AI183" s="131" t="str">
        <f t="shared" si="1031"/>
        <v/>
      </c>
      <c r="AJ183" s="131" t="str">
        <f t="shared" si="1032"/>
        <v/>
      </c>
      <c r="AK183" s="131" t="str">
        <f t="shared" si="1033"/>
        <v/>
      </c>
      <c r="AL183" s="131" t="str">
        <f t="shared" si="1034"/>
        <v/>
      </c>
      <c r="AM183" s="131" t="str">
        <f t="shared" si="1035"/>
        <v/>
      </c>
      <c r="AN183" s="131" t="str">
        <f t="shared" si="1036"/>
        <v/>
      </c>
      <c r="AO183" s="131">
        <f t="shared" si="1037"/>
        <v>19</v>
      </c>
      <c r="AP183" s="131" t="str">
        <f t="shared" si="1038"/>
        <v/>
      </c>
      <c r="AQ183" s="131" t="str">
        <f t="shared" si="1039"/>
        <v/>
      </c>
      <c r="AR183" s="131" t="str">
        <f t="shared" si="1040"/>
        <v/>
      </c>
      <c r="AS183" s="131" t="str">
        <f t="shared" si="1041"/>
        <v/>
      </c>
      <c r="AT183" s="131" t="str">
        <f t="shared" si="1042"/>
        <v/>
      </c>
      <c r="AU183" s="131" t="str">
        <f t="shared" si="1043"/>
        <v/>
      </c>
      <c r="AV183" s="131">
        <f t="shared" si="1044"/>
        <v>19</v>
      </c>
      <c r="AW183" s="131" t="str">
        <f t="shared" si="1045"/>
        <v/>
      </c>
      <c r="AX183" s="131" t="str">
        <f t="shared" si="1046"/>
        <v/>
      </c>
      <c r="AY183" s="13"/>
      <c r="AZ183" s="10"/>
    </row>
    <row r="184" spans="12:52" ht="16.5" customHeight="1" x14ac:dyDescent="0.3">
      <c r="L184" s="6"/>
      <c r="M184" s="5"/>
      <c r="N184" s="5"/>
      <c r="O184" s="51">
        <f t="shared" si="1048"/>
        <v>18</v>
      </c>
      <c r="P184" s="131" t="str">
        <f t="shared" si="1049"/>
        <v/>
      </c>
      <c r="Q184" s="131" t="str">
        <f t="shared" si="1013"/>
        <v/>
      </c>
      <c r="R184" s="131" t="str">
        <f t="shared" si="1014"/>
        <v/>
      </c>
      <c r="S184" s="131" t="str">
        <f t="shared" si="1015"/>
        <v/>
      </c>
      <c r="T184" s="131" t="str">
        <f t="shared" si="1016"/>
        <v/>
      </c>
      <c r="U184" s="131" t="str">
        <f t="shared" si="1017"/>
        <v/>
      </c>
      <c r="V184" s="131" t="str">
        <f t="shared" si="1018"/>
        <v/>
      </c>
      <c r="W184" s="131" t="str">
        <f t="shared" si="1019"/>
        <v/>
      </c>
      <c r="X184" s="131" t="str">
        <f t="shared" si="1020"/>
        <v/>
      </c>
      <c r="Y184" s="131" t="str">
        <f t="shared" si="1021"/>
        <v/>
      </c>
      <c r="Z184" s="131" t="str">
        <f t="shared" si="1022"/>
        <v/>
      </c>
      <c r="AA184" s="131" t="str">
        <f t="shared" si="1023"/>
        <v/>
      </c>
      <c r="AB184" s="131" t="str">
        <f t="shared" si="1024"/>
        <v/>
      </c>
      <c r="AC184" s="131" t="str">
        <f t="shared" si="1025"/>
        <v/>
      </c>
      <c r="AD184" s="131" t="str">
        <f t="shared" si="1026"/>
        <v/>
      </c>
      <c r="AE184" s="131" t="str">
        <f t="shared" si="1027"/>
        <v/>
      </c>
      <c r="AF184" s="131" t="str">
        <f t="shared" si="1028"/>
        <v/>
      </c>
      <c r="AG184" s="131" t="str">
        <f t="shared" si="1029"/>
        <v/>
      </c>
      <c r="AH184" s="131" t="str">
        <f t="shared" si="1030"/>
        <v/>
      </c>
      <c r="AI184" s="131" t="str">
        <f t="shared" si="1031"/>
        <v/>
      </c>
      <c r="AJ184" s="131" t="str">
        <f t="shared" si="1032"/>
        <v/>
      </c>
      <c r="AK184" s="131" t="str">
        <f t="shared" si="1033"/>
        <v/>
      </c>
      <c r="AL184" s="131" t="str">
        <f t="shared" si="1034"/>
        <v/>
      </c>
      <c r="AM184" s="131" t="str">
        <f t="shared" si="1035"/>
        <v/>
      </c>
      <c r="AN184" s="131" t="str">
        <f t="shared" si="1036"/>
        <v/>
      </c>
      <c r="AO184" s="131" t="str">
        <f t="shared" si="1037"/>
        <v/>
      </c>
      <c r="AP184" s="131" t="str">
        <f t="shared" si="1038"/>
        <v/>
      </c>
      <c r="AQ184" s="131" t="str">
        <f t="shared" si="1039"/>
        <v/>
      </c>
      <c r="AR184" s="131" t="str">
        <f t="shared" si="1040"/>
        <v/>
      </c>
      <c r="AS184" s="131" t="str">
        <f t="shared" si="1041"/>
        <v/>
      </c>
      <c r="AT184" s="131" t="str">
        <f t="shared" si="1042"/>
        <v/>
      </c>
      <c r="AU184" s="131" t="str">
        <f t="shared" si="1043"/>
        <v/>
      </c>
      <c r="AV184" s="131" t="str">
        <f t="shared" si="1044"/>
        <v/>
      </c>
      <c r="AW184" s="131" t="str">
        <f t="shared" si="1045"/>
        <v/>
      </c>
      <c r="AX184" s="131" t="str">
        <f t="shared" si="1046"/>
        <v/>
      </c>
      <c r="AY184" s="13"/>
      <c r="AZ184" s="10"/>
    </row>
    <row r="185" spans="12:52" x14ac:dyDescent="0.3">
      <c r="L185" s="6"/>
      <c r="M185" s="5"/>
      <c r="N185" s="5"/>
      <c r="O185" s="51">
        <f t="shared" si="1048"/>
        <v>16</v>
      </c>
      <c r="P185" s="131">
        <f t="shared" si="1049"/>
        <v>16</v>
      </c>
      <c r="Q185" s="131">
        <f t="shared" si="1013"/>
        <v>16</v>
      </c>
      <c r="R185" s="131" t="str">
        <f t="shared" si="1014"/>
        <v/>
      </c>
      <c r="S185" s="131" t="str">
        <f t="shared" si="1015"/>
        <v/>
      </c>
      <c r="T185" s="131" t="str">
        <f t="shared" si="1016"/>
        <v/>
      </c>
      <c r="U185" s="131" t="str">
        <f t="shared" si="1017"/>
        <v/>
      </c>
      <c r="V185" s="131" t="str">
        <f t="shared" si="1018"/>
        <v/>
      </c>
      <c r="W185" s="131" t="str">
        <f t="shared" si="1019"/>
        <v/>
      </c>
      <c r="X185" s="131" t="str">
        <f t="shared" si="1020"/>
        <v/>
      </c>
      <c r="Y185" s="131" t="str">
        <f t="shared" si="1021"/>
        <v/>
      </c>
      <c r="Z185" s="131" t="str">
        <f t="shared" si="1022"/>
        <v/>
      </c>
      <c r="AA185" s="131" t="str">
        <f t="shared" si="1023"/>
        <v/>
      </c>
      <c r="AB185" s="131" t="str">
        <f t="shared" si="1024"/>
        <v/>
      </c>
      <c r="AC185" s="131" t="str">
        <f t="shared" si="1025"/>
        <v/>
      </c>
      <c r="AD185" s="131" t="str">
        <f t="shared" si="1026"/>
        <v/>
      </c>
      <c r="AE185" s="131" t="str">
        <f t="shared" si="1027"/>
        <v/>
      </c>
      <c r="AF185" s="131" t="str">
        <f t="shared" si="1028"/>
        <v/>
      </c>
      <c r="AG185" s="131" t="str">
        <f t="shared" si="1029"/>
        <v/>
      </c>
      <c r="AH185" s="131" t="str">
        <f t="shared" si="1030"/>
        <v/>
      </c>
      <c r="AI185" s="131" t="str">
        <f t="shared" si="1031"/>
        <v/>
      </c>
      <c r="AJ185" s="131" t="str">
        <f t="shared" si="1032"/>
        <v/>
      </c>
      <c r="AK185" s="131" t="str">
        <f t="shared" si="1033"/>
        <v/>
      </c>
      <c r="AL185" s="131" t="str">
        <f t="shared" si="1034"/>
        <v/>
      </c>
      <c r="AM185" s="131" t="str">
        <f t="shared" si="1035"/>
        <v/>
      </c>
      <c r="AN185" s="131" t="str">
        <f t="shared" si="1036"/>
        <v/>
      </c>
      <c r="AO185" s="131" t="str">
        <f t="shared" si="1037"/>
        <v/>
      </c>
      <c r="AP185" s="131" t="str">
        <f t="shared" si="1038"/>
        <v/>
      </c>
      <c r="AQ185" s="131" t="str">
        <f t="shared" si="1039"/>
        <v/>
      </c>
      <c r="AR185" s="131" t="str">
        <f t="shared" si="1040"/>
        <v/>
      </c>
      <c r="AS185" s="131" t="str">
        <f t="shared" si="1041"/>
        <v/>
      </c>
      <c r="AT185" s="131" t="str">
        <f t="shared" si="1042"/>
        <v/>
      </c>
      <c r="AU185" s="131" t="str">
        <f t="shared" si="1043"/>
        <v/>
      </c>
      <c r="AV185" s="131" t="str">
        <f t="shared" si="1044"/>
        <v/>
      </c>
      <c r="AW185" s="131" t="str">
        <f t="shared" si="1045"/>
        <v/>
      </c>
      <c r="AX185" s="131" t="str">
        <f t="shared" si="1046"/>
        <v/>
      </c>
      <c r="AY185" s="13"/>
      <c r="AZ185" s="10"/>
    </row>
    <row r="186" spans="12:52" x14ac:dyDescent="0.3">
      <c r="L186" s="6"/>
      <c r="M186" s="5"/>
      <c r="N186" s="5"/>
      <c r="O186" s="51">
        <f t="shared" si="1048"/>
        <v>14</v>
      </c>
      <c r="P186" s="131" t="str">
        <f t="shared" si="1049"/>
        <v/>
      </c>
      <c r="Q186" s="131" t="str">
        <f t="shared" si="1013"/>
        <v/>
      </c>
      <c r="R186" s="131" t="str">
        <f t="shared" si="1014"/>
        <v/>
      </c>
      <c r="S186" s="131" t="str">
        <f t="shared" si="1015"/>
        <v/>
      </c>
      <c r="T186" s="131" t="str">
        <f t="shared" si="1016"/>
        <v/>
      </c>
      <c r="U186" s="131" t="str">
        <f t="shared" si="1017"/>
        <v/>
      </c>
      <c r="V186" s="131" t="str">
        <f t="shared" si="1018"/>
        <v/>
      </c>
      <c r="W186" s="131" t="str">
        <f t="shared" si="1019"/>
        <v/>
      </c>
      <c r="X186" s="131" t="str">
        <f t="shared" si="1020"/>
        <v/>
      </c>
      <c r="Y186" s="131" t="str">
        <f t="shared" si="1021"/>
        <v/>
      </c>
      <c r="Z186" s="131" t="str">
        <f t="shared" si="1022"/>
        <v/>
      </c>
      <c r="AA186" s="131" t="str">
        <f t="shared" si="1023"/>
        <v/>
      </c>
      <c r="AB186" s="131" t="str">
        <f t="shared" si="1024"/>
        <v/>
      </c>
      <c r="AC186" s="131" t="str">
        <f t="shared" si="1025"/>
        <v/>
      </c>
      <c r="AD186" s="131" t="str">
        <f t="shared" si="1026"/>
        <v/>
      </c>
      <c r="AE186" s="131" t="str">
        <f t="shared" si="1027"/>
        <v/>
      </c>
      <c r="AF186" s="131" t="str">
        <f t="shared" si="1028"/>
        <v/>
      </c>
      <c r="AG186" s="131" t="str">
        <f t="shared" si="1029"/>
        <v/>
      </c>
      <c r="AH186" s="131" t="str">
        <f t="shared" si="1030"/>
        <v/>
      </c>
      <c r="AI186" s="131" t="str">
        <f t="shared" si="1031"/>
        <v/>
      </c>
      <c r="AJ186" s="131" t="str">
        <f t="shared" si="1032"/>
        <v/>
      </c>
      <c r="AK186" s="131" t="str">
        <f t="shared" si="1033"/>
        <v/>
      </c>
      <c r="AL186" s="131" t="str">
        <f t="shared" si="1034"/>
        <v/>
      </c>
      <c r="AM186" s="131" t="str">
        <f t="shared" si="1035"/>
        <v/>
      </c>
      <c r="AN186" s="131" t="str">
        <f t="shared" si="1036"/>
        <v/>
      </c>
      <c r="AO186" s="131" t="str">
        <f t="shared" si="1037"/>
        <v/>
      </c>
      <c r="AP186" s="131" t="str">
        <f t="shared" si="1038"/>
        <v/>
      </c>
      <c r="AQ186" s="131" t="str">
        <f t="shared" si="1039"/>
        <v/>
      </c>
      <c r="AR186" s="131" t="str">
        <f t="shared" si="1040"/>
        <v/>
      </c>
      <c r="AS186" s="131" t="str">
        <f t="shared" si="1041"/>
        <v/>
      </c>
      <c r="AT186" s="131" t="str">
        <f t="shared" si="1042"/>
        <v/>
      </c>
      <c r="AU186" s="131" t="str">
        <f t="shared" si="1043"/>
        <v/>
      </c>
      <c r="AV186" s="131" t="str">
        <f t="shared" si="1044"/>
        <v/>
      </c>
      <c r="AW186" s="131" t="str">
        <f t="shared" si="1045"/>
        <v/>
      </c>
      <c r="AX186" s="131" t="str">
        <f t="shared" si="1046"/>
        <v/>
      </c>
      <c r="AY186" s="13"/>
      <c r="AZ186" s="10"/>
    </row>
    <row r="187" spans="12:52" x14ac:dyDescent="0.3">
      <c r="L187" s="6"/>
      <c r="M187" s="5"/>
      <c r="N187" s="5"/>
      <c r="O187" s="51">
        <f t="shared" si="1048"/>
        <v>12</v>
      </c>
      <c r="P187" s="131" t="str">
        <f t="shared" si="1049"/>
        <v/>
      </c>
      <c r="Q187" s="131" t="str">
        <f t="shared" si="1013"/>
        <v/>
      </c>
      <c r="R187" s="131" t="str">
        <f t="shared" si="1014"/>
        <v/>
      </c>
      <c r="S187" s="131" t="str">
        <f t="shared" si="1015"/>
        <v/>
      </c>
      <c r="T187" s="131" t="str">
        <f t="shared" si="1016"/>
        <v/>
      </c>
      <c r="U187" s="131" t="str">
        <f t="shared" si="1017"/>
        <v/>
      </c>
      <c r="V187" s="131" t="str">
        <f t="shared" si="1018"/>
        <v/>
      </c>
      <c r="W187" s="131" t="str">
        <f t="shared" si="1019"/>
        <v/>
      </c>
      <c r="X187" s="131" t="str">
        <f t="shared" si="1020"/>
        <v/>
      </c>
      <c r="Y187" s="131" t="str">
        <f t="shared" si="1021"/>
        <v/>
      </c>
      <c r="Z187" s="131" t="str">
        <f t="shared" si="1022"/>
        <v/>
      </c>
      <c r="AA187" s="131" t="str">
        <f t="shared" si="1023"/>
        <v/>
      </c>
      <c r="AB187" s="131" t="str">
        <f t="shared" si="1024"/>
        <v/>
      </c>
      <c r="AC187" s="131" t="str">
        <f t="shared" si="1025"/>
        <v/>
      </c>
      <c r="AD187" s="131" t="str">
        <f t="shared" si="1026"/>
        <v/>
      </c>
      <c r="AE187" s="131" t="str">
        <f t="shared" si="1027"/>
        <v/>
      </c>
      <c r="AF187" s="131" t="str">
        <f t="shared" si="1028"/>
        <v/>
      </c>
      <c r="AG187" s="131" t="str">
        <f t="shared" si="1029"/>
        <v/>
      </c>
      <c r="AH187" s="131" t="str">
        <f t="shared" si="1030"/>
        <v/>
      </c>
      <c r="AI187" s="131" t="str">
        <f t="shared" si="1031"/>
        <v/>
      </c>
      <c r="AJ187" s="131" t="str">
        <f t="shared" si="1032"/>
        <v/>
      </c>
      <c r="AK187" s="131" t="str">
        <f t="shared" si="1033"/>
        <v/>
      </c>
      <c r="AL187" s="131" t="str">
        <f t="shared" si="1034"/>
        <v/>
      </c>
      <c r="AM187" s="131" t="str">
        <f t="shared" si="1035"/>
        <v/>
      </c>
      <c r="AN187" s="131" t="str">
        <f t="shared" si="1036"/>
        <v/>
      </c>
      <c r="AO187" s="131" t="str">
        <f t="shared" si="1037"/>
        <v/>
      </c>
      <c r="AP187" s="131" t="str">
        <f t="shared" si="1038"/>
        <v/>
      </c>
      <c r="AQ187" s="131" t="str">
        <f t="shared" si="1039"/>
        <v/>
      </c>
      <c r="AR187" s="131" t="str">
        <f t="shared" si="1040"/>
        <v/>
      </c>
      <c r="AS187" s="131" t="str">
        <f t="shared" si="1041"/>
        <v/>
      </c>
      <c r="AT187" s="131" t="str">
        <f t="shared" si="1042"/>
        <v/>
      </c>
      <c r="AU187" s="131" t="str">
        <f t="shared" si="1043"/>
        <v/>
      </c>
      <c r="AV187" s="131" t="str">
        <f t="shared" si="1044"/>
        <v/>
      </c>
      <c r="AW187" s="131">
        <f t="shared" si="1045"/>
        <v>11</v>
      </c>
      <c r="AX187" s="131" t="str">
        <f t="shared" si="1046"/>
        <v/>
      </c>
      <c r="AY187" s="13"/>
      <c r="AZ187" s="10"/>
    </row>
    <row r="188" spans="12:52" x14ac:dyDescent="0.3">
      <c r="L188" s="6"/>
      <c r="M188" s="5"/>
      <c r="N188" s="5"/>
      <c r="O188" s="51">
        <f t="shared" si="1048"/>
        <v>10</v>
      </c>
      <c r="P188" s="131" t="str">
        <f t="shared" si="1049"/>
        <v/>
      </c>
      <c r="Q188" s="131" t="str">
        <f t="shared" si="1013"/>
        <v/>
      </c>
      <c r="R188" s="131" t="str">
        <f t="shared" si="1014"/>
        <v/>
      </c>
      <c r="S188" s="131" t="str">
        <f t="shared" si="1015"/>
        <v/>
      </c>
      <c r="T188" s="131" t="str">
        <f t="shared" si="1016"/>
        <v/>
      </c>
      <c r="U188" s="131" t="str">
        <f t="shared" si="1017"/>
        <v/>
      </c>
      <c r="V188" s="131" t="str">
        <f t="shared" si="1018"/>
        <v/>
      </c>
      <c r="W188" s="131" t="str">
        <f t="shared" si="1019"/>
        <v/>
      </c>
      <c r="X188" s="131" t="str">
        <f t="shared" si="1020"/>
        <v/>
      </c>
      <c r="Y188" s="131" t="str">
        <f t="shared" si="1021"/>
        <v/>
      </c>
      <c r="Z188" s="131" t="str">
        <f t="shared" si="1022"/>
        <v/>
      </c>
      <c r="AA188" s="131" t="str">
        <f t="shared" si="1023"/>
        <v/>
      </c>
      <c r="AB188" s="131" t="str">
        <f t="shared" si="1024"/>
        <v/>
      </c>
      <c r="AC188" s="131" t="str">
        <f t="shared" si="1025"/>
        <v/>
      </c>
      <c r="AD188" s="131" t="str">
        <f t="shared" si="1026"/>
        <v/>
      </c>
      <c r="AE188" s="131" t="str">
        <f t="shared" si="1027"/>
        <v/>
      </c>
      <c r="AF188" s="131" t="str">
        <f t="shared" si="1028"/>
        <v/>
      </c>
      <c r="AG188" s="131" t="str">
        <f t="shared" si="1029"/>
        <v/>
      </c>
      <c r="AH188" s="131" t="str">
        <f t="shared" si="1030"/>
        <v/>
      </c>
      <c r="AI188" s="131" t="str">
        <f t="shared" si="1031"/>
        <v/>
      </c>
      <c r="AJ188" s="131" t="str">
        <f t="shared" si="1032"/>
        <v/>
      </c>
      <c r="AK188" s="131" t="str">
        <f t="shared" si="1033"/>
        <v/>
      </c>
      <c r="AL188" s="131" t="str">
        <f t="shared" si="1034"/>
        <v/>
      </c>
      <c r="AM188" s="131" t="str">
        <f t="shared" si="1035"/>
        <v/>
      </c>
      <c r="AN188" s="131" t="str">
        <f t="shared" si="1036"/>
        <v/>
      </c>
      <c r="AO188" s="131" t="str">
        <f t="shared" si="1037"/>
        <v/>
      </c>
      <c r="AP188" s="131" t="str">
        <f t="shared" si="1038"/>
        <v/>
      </c>
      <c r="AQ188" s="131" t="str">
        <f t="shared" si="1039"/>
        <v/>
      </c>
      <c r="AR188" s="131" t="str">
        <f t="shared" si="1040"/>
        <v/>
      </c>
      <c r="AS188" s="131" t="str">
        <f t="shared" si="1041"/>
        <v/>
      </c>
      <c r="AT188" s="131" t="str">
        <f t="shared" si="1042"/>
        <v/>
      </c>
      <c r="AU188" s="131" t="str">
        <f t="shared" si="1043"/>
        <v/>
      </c>
      <c r="AV188" s="131" t="str">
        <f t="shared" si="1044"/>
        <v/>
      </c>
      <c r="AW188" s="131" t="str">
        <f t="shared" si="1045"/>
        <v/>
      </c>
      <c r="AX188" s="131" t="str">
        <f t="shared" si="1046"/>
        <v/>
      </c>
      <c r="AY188" s="13"/>
      <c r="AZ188" s="10"/>
    </row>
    <row r="189" spans="12:52" x14ac:dyDescent="0.3">
      <c r="L189" s="6"/>
      <c r="M189" s="5"/>
      <c r="N189" s="5"/>
      <c r="O189" s="51">
        <f t="shared" si="1048"/>
        <v>8</v>
      </c>
      <c r="P189" s="131" t="str">
        <f t="shared" si="1049"/>
        <v/>
      </c>
      <c r="Q189" s="131" t="str">
        <f t="shared" si="1013"/>
        <v/>
      </c>
      <c r="R189" s="131" t="str">
        <f t="shared" si="1014"/>
        <v/>
      </c>
      <c r="S189" s="131" t="str">
        <f t="shared" si="1015"/>
        <v/>
      </c>
      <c r="T189" s="131" t="str">
        <f t="shared" si="1016"/>
        <v/>
      </c>
      <c r="U189" s="131" t="str">
        <f t="shared" si="1017"/>
        <v/>
      </c>
      <c r="V189" s="131" t="str">
        <f t="shared" si="1018"/>
        <v/>
      </c>
      <c r="W189" s="131" t="str">
        <f t="shared" si="1019"/>
        <v/>
      </c>
      <c r="X189" s="131" t="str">
        <f t="shared" si="1020"/>
        <v/>
      </c>
      <c r="Y189" s="131" t="str">
        <f t="shared" si="1021"/>
        <v/>
      </c>
      <c r="Z189" s="131" t="str">
        <f t="shared" si="1022"/>
        <v/>
      </c>
      <c r="AA189" s="131" t="str">
        <f t="shared" si="1023"/>
        <v/>
      </c>
      <c r="AB189" s="131" t="str">
        <f t="shared" si="1024"/>
        <v/>
      </c>
      <c r="AC189" s="131" t="str">
        <f t="shared" si="1025"/>
        <v/>
      </c>
      <c r="AD189" s="131" t="str">
        <f t="shared" si="1026"/>
        <v/>
      </c>
      <c r="AE189" s="131" t="str">
        <f t="shared" si="1027"/>
        <v/>
      </c>
      <c r="AF189" s="131" t="str">
        <f t="shared" si="1028"/>
        <v/>
      </c>
      <c r="AG189" s="131" t="str">
        <f t="shared" si="1029"/>
        <v/>
      </c>
      <c r="AH189" s="131" t="str">
        <f t="shared" si="1030"/>
        <v/>
      </c>
      <c r="AI189" s="131" t="str">
        <f t="shared" si="1031"/>
        <v/>
      </c>
      <c r="AJ189" s="131" t="str">
        <f t="shared" si="1032"/>
        <v/>
      </c>
      <c r="AK189" s="131" t="str">
        <f t="shared" si="1033"/>
        <v/>
      </c>
      <c r="AL189" s="131" t="str">
        <f t="shared" si="1034"/>
        <v/>
      </c>
      <c r="AM189" s="131" t="str">
        <f t="shared" si="1035"/>
        <v/>
      </c>
      <c r="AN189" s="131" t="str">
        <f t="shared" si="1036"/>
        <v/>
      </c>
      <c r="AO189" s="131" t="str">
        <f t="shared" si="1037"/>
        <v/>
      </c>
      <c r="AP189" s="131" t="str">
        <f t="shared" si="1038"/>
        <v/>
      </c>
      <c r="AQ189" s="131" t="str">
        <f t="shared" si="1039"/>
        <v/>
      </c>
      <c r="AR189" s="131" t="str">
        <f t="shared" si="1040"/>
        <v/>
      </c>
      <c r="AS189" s="131" t="str">
        <f t="shared" si="1041"/>
        <v/>
      </c>
      <c r="AT189" s="131" t="str">
        <f t="shared" si="1042"/>
        <v/>
      </c>
      <c r="AU189" s="131" t="str">
        <f t="shared" si="1043"/>
        <v/>
      </c>
      <c r="AV189" s="131" t="str">
        <f t="shared" si="1044"/>
        <v/>
      </c>
      <c r="AW189" s="131" t="str">
        <f t="shared" si="1045"/>
        <v/>
      </c>
      <c r="AX189" s="131">
        <f t="shared" si="1046"/>
        <v>8</v>
      </c>
      <c r="AY189" s="13"/>
      <c r="AZ189" s="10"/>
    </row>
    <row r="190" spans="12:52" ht="16.8" x14ac:dyDescent="0.3">
      <c r="L190" s="6"/>
      <c r="M190" s="5"/>
      <c r="N190" s="5"/>
      <c r="O190" s="51">
        <f t="shared" si="1048"/>
        <v>6</v>
      </c>
      <c r="P190" s="122" t="str">
        <f t="shared" si="1049"/>
        <v/>
      </c>
      <c r="Q190" s="122" t="str">
        <f t="shared" si="1013"/>
        <v/>
      </c>
      <c r="R190" s="122" t="str">
        <f t="shared" si="1014"/>
        <v/>
      </c>
      <c r="S190" s="122" t="str">
        <f t="shared" si="1015"/>
        <v/>
      </c>
      <c r="T190" s="122" t="str">
        <f t="shared" si="1016"/>
        <v/>
      </c>
      <c r="U190" s="122" t="str">
        <f t="shared" si="1017"/>
        <v/>
      </c>
      <c r="V190" s="122" t="str">
        <f t="shared" si="1018"/>
        <v/>
      </c>
      <c r="W190" s="122" t="str">
        <f t="shared" si="1019"/>
        <v/>
      </c>
      <c r="X190" s="122" t="str">
        <f t="shared" si="1020"/>
        <v/>
      </c>
      <c r="Y190" s="122" t="str">
        <f t="shared" si="1021"/>
        <v/>
      </c>
      <c r="Z190" s="122" t="str">
        <f t="shared" si="1022"/>
        <v/>
      </c>
      <c r="AA190" s="122" t="str">
        <f t="shared" si="1023"/>
        <v/>
      </c>
      <c r="AB190" s="122" t="str">
        <f t="shared" si="1024"/>
        <v/>
      </c>
      <c r="AC190" s="122" t="str">
        <f t="shared" si="1025"/>
        <v/>
      </c>
      <c r="AD190" s="122" t="str">
        <f t="shared" si="1026"/>
        <v/>
      </c>
      <c r="AE190" s="122" t="str">
        <f t="shared" si="1027"/>
        <v/>
      </c>
      <c r="AF190" s="122" t="str">
        <f t="shared" si="1028"/>
        <v/>
      </c>
      <c r="AG190" s="122" t="str">
        <f t="shared" si="1029"/>
        <v/>
      </c>
      <c r="AH190" s="122" t="str">
        <f t="shared" si="1030"/>
        <v/>
      </c>
      <c r="AI190" s="122" t="str">
        <f t="shared" si="1031"/>
        <v/>
      </c>
      <c r="AJ190" s="122" t="str">
        <f t="shared" si="1032"/>
        <v/>
      </c>
      <c r="AK190" s="122" t="str">
        <f t="shared" si="1033"/>
        <v/>
      </c>
      <c r="AL190" s="122" t="str">
        <f t="shared" si="1034"/>
        <v/>
      </c>
      <c r="AM190" s="122" t="str">
        <f t="shared" si="1035"/>
        <v/>
      </c>
      <c r="AN190" s="122" t="str">
        <f t="shared" si="1036"/>
        <v/>
      </c>
      <c r="AO190" s="122" t="str">
        <f t="shared" si="1037"/>
        <v/>
      </c>
      <c r="AP190" s="122" t="str">
        <f t="shared" si="1038"/>
        <v/>
      </c>
      <c r="AQ190" s="122" t="str">
        <f t="shared" si="1039"/>
        <v/>
      </c>
      <c r="AR190" s="122" t="str">
        <f t="shared" si="1040"/>
        <v/>
      </c>
      <c r="AS190" s="122" t="str">
        <f t="shared" si="1041"/>
        <v/>
      </c>
      <c r="AT190" s="122" t="str">
        <f t="shared" si="1042"/>
        <v/>
      </c>
      <c r="AU190" s="122" t="str">
        <f t="shared" si="1043"/>
        <v/>
      </c>
      <c r="AV190" s="122" t="str">
        <f t="shared" si="1044"/>
        <v/>
      </c>
      <c r="AW190" s="122" t="str">
        <f t="shared" si="1045"/>
        <v/>
      </c>
      <c r="AX190" s="122" t="str">
        <f t="shared" si="1046"/>
        <v/>
      </c>
      <c r="AY190" s="10"/>
      <c r="AZ190" s="10"/>
    </row>
    <row r="191" spans="12:52" ht="16.8" x14ac:dyDescent="0.3">
      <c r="L191" s="6"/>
      <c r="M191" s="5"/>
      <c r="N191" s="5"/>
      <c r="O191" s="51">
        <f t="shared" si="1048"/>
        <v>4</v>
      </c>
      <c r="P191" s="122" t="str">
        <f t="shared" si="1049"/>
        <v/>
      </c>
      <c r="Q191" s="122" t="str">
        <f t="shared" si="1013"/>
        <v/>
      </c>
      <c r="R191" s="122" t="str">
        <f t="shared" si="1014"/>
        <v/>
      </c>
      <c r="S191" s="122" t="str">
        <f t="shared" si="1015"/>
        <v/>
      </c>
      <c r="T191" s="122" t="str">
        <f t="shared" si="1016"/>
        <v/>
      </c>
      <c r="U191" s="122" t="str">
        <f t="shared" si="1017"/>
        <v/>
      </c>
      <c r="V191" s="122" t="str">
        <f t="shared" si="1018"/>
        <v/>
      </c>
      <c r="W191" s="122" t="str">
        <f t="shared" si="1019"/>
        <v/>
      </c>
      <c r="X191" s="122" t="str">
        <f t="shared" si="1020"/>
        <v/>
      </c>
      <c r="Y191" s="122" t="str">
        <f t="shared" si="1021"/>
        <v/>
      </c>
      <c r="Z191" s="122" t="str">
        <f t="shared" si="1022"/>
        <v/>
      </c>
      <c r="AA191" s="122" t="str">
        <f t="shared" si="1023"/>
        <v/>
      </c>
      <c r="AB191" s="122" t="str">
        <f t="shared" si="1024"/>
        <v/>
      </c>
      <c r="AC191" s="122" t="str">
        <f t="shared" si="1025"/>
        <v/>
      </c>
      <c r="AD191" s="122" t="str">
        <f t="shared" si="1026"/>
        <v/>
      </c>
      <c r="AE191" s="122" t="str">
        <f t="shared" si="1027"/>
        <v/>
      </c>
      <c r="AF191" s="122" t="str">
        <f t="shared" si="1028"/>
        <v/>
      </c>
      <c r="AG191" s="122" t="str">
        <f t="shared" si="1029"/>
        <v/>
      </c>
      <c r="AH191" s="122" t="str">
        <f t="shared" si="1030"/>
        <v/>
      </c>
      <c r="AI191" s="122" t="str">
        <f t="shared" si="1031"/>
        <v/>
      </c>
      <c r="AJ191" s="122" t="str">
        <f t="shared" si="1032"/>
        <v/>
      </c>
      <c r="AK191" s="122" t="str">
        <f t="shared" si="1033"/>
        <v/>
      </c>
      <c r="AL191" s="122" t="str">
        <f t="shared" si="1034"/>
        <v/>
      </c>
      <c r="AM191" s="122" t="str">
        <f t="shared" si="1035"/>
        <v/>
      </c>
      <c r="AN191" s="122" t="str">
        <f t="shared" si="1036"/>
        <v/>
      </c>
      <c r="AO191" s="122" t="str">
        <f t="shared" si="1037"/>
        <v/>
      </c>
      <c r="AP191" s="122" t="str">
        <f t="shared" si="1038"/>
        <v/>
      </c>
      <c r="AQ191" s="122" t="str">
        <f t="shared" si="1039"/>
        <v/>
      </c>
      <c r="AR191" s="122" t="str">
        <f t="shared" si="1040"/>
        <v/>
      </c>
      <c r="AS191" s="122" t="str">
        <f t="shared" si="1041"/>
        <v/>
      </c>
      <c r="AT191" s="122" t="str">
        <f t="shared" si="1042"/>
        <v/>
      </c>
      <c r="AU191" s="122" t="str">
        <f t="shared" si="1043"/>
        <v/>
      </c>
      <c r="AV191" s="122" t="str">
        <f t="shared" si="1044"/>
        <v/>
      </c>
      <c r="AW191" s="122" t="str">
        <f t="shared" si="1045"/>
        <v/>
      </c>
      <c r="AX191" s="122" t="str">
        <f t="shared" si="1046"/>
        <v/>
      </c>
      <c r="AY191" s="10"/>
      <c r="AZ191" s="10"/>
    </row>
    <row r="192" spans="12:52" ht="24.6" x14ac:dyDescent="0.3">
      <c r="L192" s="6"/>
      <c r="M192" s="5"/>
      <c r="N192" s="5"/>
      <c r="O192" s="51">
        <v>2</v>
      </c>
      <c r="P192" s="122" t="str">
        <f t="shared" si="1049"/>
        <v/>
      </c>
      <c r="Q192" s="122" t="str">
        <f t="shared" si="1013"/>
        <v/>
      </c>
      <c r="R192" s="122" t="str">
        <f t="shared" si="1014"/>
        <v/>
      </c>
      <c r="S192" s="122" t="str">
        <f t="shared" si="1015"/>
        <v/>
      </c>
      <c r="T192" s="122" t="str">
        <f t="shared" si="1016"/>
        <v/>
      </c>
      <c r="U192" s="122" t="str">
        <f t="shared" si="1017"/>
        <v/>
      </c>
      <c r="V192" s="122" t="str">
        <f t="shared" si="1018"/>
        <v/>
      </c>
      <c r="W192" s="122" t="str">
        <f t="shared" si="1019"/>
        <v/>
      </c>
      <c r="X192" s="122" t="str">
        <f t="shared" si="1020"/>
        <v/>
      </c>
      <c r="Y192" s="122" t="str">
        <f t="shared" si="1021"/>
        <v/>
      </c>
      <c r="Z192" s="122" t="str">
        <f t="shared" si="1022"/>
        <v/>
      </c>
      <c r="AA192" s="122" t="str">
        <f t="shared" si="1023"/>
        <v/>
      </c>
      <c r="AB192" s="122" t="str">
        <f t="shared" si="1024"/>
        <v/>
      </c>
      <c r="AC192" s="122" t="str">
        <f t="shared" si="1025"/>
        <v/>
      </c>
      <c r="AD192" s="122" t="str">
        <f t="shared" si="1026"/>
        <v/>
      </c>
      <c r="AE192" s="122" t="str">
        <f t="shared" si="1027"/>
        <v/>
      </c>
      <c r="AF192" s="122" t="str">
        <f t="shared" si="1028"/>
        <v/>
      </c>
      <c r="AG192" s="122" t="str">
        <f t="shared" si="1029"/>
        <v/>
      </c>
      <c r="AH192" s="122" t="str">
        <f t="shared" si="1030"/>
        <v/>
      </c>
      <c r="AI192" s="122" t="str">
        <f t="shared" si="1031"/>
        <v/>
      </c>
      <c r="AJ192" s="122" t="str">
        <f t="shared" si="1032"/>
        <v/>
      </c>
      <c r="AK192" s="122" t="str">
        <f t="shared" si="1033"/>
        <v/>
      </c>
      <c r="AL192" s="122" t="str">
        <f t="shared" si="1034"/>
        <v/>
      </c>
      <c r="AM192" s="122" t="str">
        <f t="shared" si="1035"/>
        <v/>
      </c>
      <c r="AN192" s="122" t="str">
        <f t="shared" si="1036"/>
        <v/>
      </c>
      <c r="AO192" s="122" t="str">
        <f t="shared" si="1037"/>
        <v/>
      </c>
      <c r="AP192" s="122" t="str">
        <f t="shared" si="1038"/>
        <v/>
      </c>
      <c r="AQ192" s="122" t="str">
        <f t="shared" si="1039"/>
        <v/>
      </c>
      <c r="AR192" s="122" t="str">
        <f t="shared" si="1040"/>
        <v/>
      </c>
      <c r="AS192" s="122" t="str">
        <f t="shared" si="1041"/>
        <v/>
      </c>
      <c r="AT192" s="122" t="str">
        <f t="shared" si="1042"/>
        <v/>
      </c>
      <c r="AU192" s="122" t="str">
        <f t="shared" si="1043"/>
        <v/>
      </c>
      <c r="AV192" s="122" t="str">
        <f t="shared" si="1044"/>
        <v/>
      </c>
      <c r="AW192" s="122" t="str">
        <f t="shared" si="1045"/>
        <v/>
      </c>
      <c r="AX192" s="122" t="str">
        <f t="shared" si="1046"/>
        <v/>
      </c>
      <c r="AY192" s="28" t="s">
        <v>4</v>
      </c>
      <c r="AZ192" s="10"/>
    </row>
    <row r="193" spans="12:50" x14ac:dyDescent="0.3">
      <c r="L193" s="6"/>
      <c r="M193" s="5"/>
      <c r="N193" s="5"/>
      <c r="O193" s="52"/>
      <c r="P193" s="74">
        <f t="shared" ref="P193:AX193" si="1050">P16</f>
        <v>43678</v>
      </c>
      <c r="Q193" s="74">
        <f t="shared" si="1050"/>
        <v>43679</v>
      </c>
      <c r="R193" s="74">
        <f t="shared" si="1050"/>
        <v>43680</v>
      </c>
      <c r="S193" s="74">
        <f t="shared" si="1050"/>
        <v>43681</v>
      </c>
      <c r="T193" s="74">
        <f t="shared" si="1050"/>
        <v>43682</v>
      </c>
      <c r="U193" s="74">
        <f t="shared" si="1050"/>
        <v>43683</v>
      </c>
      <c r="V193" s="74">
        <f t="shared" si="1050"/>
        <v>43684</v>
      </c>
      <c r="W193" s="74">
        <f t="shared" si="1050"/>
        <v>43685</v>
      </c>
      <c r="X193" s="74">
        <f t="shared" si="1050"/>
        <v>43686</v>
      </c>
      <c r="Y193" s="74">
        <f t="shared" si="1050"/>
        <v>43687</v>
      </c>
      <c r="Z193" s="74">
        <f t="shared" si="1050"/>
        <v>43688</v>
      </c>
      <c r="AA193" s="74">
        <f t="shared" si="1050"/>
        <v>43689</v>
      </c>
      <c r="AB193" s="74">
        <f t="shared" si="1050"/>
        <v>43690</v>
      </c>
      <c r="AC193" s="74">
        <f t="shared" si="1050"/>
        <v>43691</v>
      </c>
      <c r="AD193" s="74">
        <f t="shared" si="1050"/>
        <v>43692</v>
      </c>
      <c r="AE193" s="74">
        <f t="shared" si="1050"/>
        <v>43693</v>
      </c>
      <c r="AF193" s="74">
        <f t="shared" si="1050"/>
        <v>43694</v>
      </c>
      <c r="AG193" s="74">
        <f t="shared" si="1050"/>
        <v>43695</v>
      </c>
      <c r="AH193" s="74">
        <f t="shared" si="1050"/>
        <v>43696</v>
      </c>
      <c r="AI193" s="74">
        <f t="shared" si="1050"/>
        <v>43697</v>
      </c>
      <c r="AJ193" s="74">
        <f t="shared" si="1050"/>
        <v>43698</v>
      </c>
      <c r="AK193" s="74">
        <f t="shared" si="1050"/>
        <v>43699</v>
      </c>
      <c r="AL193" s="74">
        <f t="shared" si="1050"/>
        <v>43700</v>
      </c>
      <c r="AM193" s="74">
        <f t="shared" si="1050"/>
        <v>43701</v>
      </c>
      <c r="AN193" s="74">
        <f t="shared" si="1050"/>
        <v>43702</v>
      </c>
      <c r="AO193" s="74">
        <f t="shared" si="1050"/>
        <v>43703</v>
      </c>
      <c r="AP193" s="74">
        <f t="shared" si="1050"/>
        <v>43704</v>
      </c>
      <c r="AQ193" s="74">
        <f t="shared" si="1050"/>
        <v>43705</v>
      </c>
      <c r="AR193" s="74">
        <f t="shared" si="1050"/>
        <v>43706</v>
      </c>
      <c r="AS193" s="74">
        <f t="shared" si="1050"/>
        <v>43707</v>
      </c>
      <c r="AT193" s="74">
        <f t="shared" si="1050"/>
        <v>43708</v>
      </c>
      <c r="AU193" s="74">
        <f t="shared" si="1050"/>
        <v>43709</v>
      </c>
      <c r="AV193" s="74">
        <f t="shared" si="1050"/>
        <v>43710</v>
      </c>
      <c r="AW193" s="74">
        <f t="shared" si="1050"/>
        <v>43711</v>
      </c>
      <c r="AX193" s="74">
        <f t="shared" si="1050"/>
        <v>43712</v>
      </c>
    </row>
    <row r="194" spans="12:50" ht="27.6" x14ac:dyDescent="0.3">
      <c r="L194" s="6"/>
      <c r="M194" s="5"/>
      <c r="N194" s="5"/>
      <c r="O194" s="53" t="s">
        <v>7</v>
      </c>
      <c r="P194" s="54">
        <f t="shared" ref="P194:AX194" si="1051">+SUMIF(P$19:P$141,"",$O$19:$O$141)</f>
        <v>16</v>
      </c>
      <c r="Q194" s="54">
        <f t="shared" si="1051"/>
        <v>16</v>
      </c>
      <c r="R194" s="54">
        <f t="shared" si="1051"/>
        <v>24</v>
      </c>
      <c r="S194" s="54">
        <f t="shared" si="1051"/>
        <v>24</v>
      </c>
      <c r="T194" s="54">
        <f t="shared" si="1051"/>
        <v>24</v>
      </c>
      <c r="U194" s="54">
        <f t="shared" si="1051"/>
        <v>24</v>
      </c>
      <c r="V194" s="54">
        <f t="shared" si="1051"/>
        <v>24</v>
      </c>
      <c r="W194" s="54">
        <f t="shared" si="1051"/>
        <v>24</v>
      </c>
      <c r="X194" s="54">
        <f t="shared" si="1051"/>
        <v>24</v>
      </c>
      <c r="Y194" s="54">
        <f t="shared" si="1051"/>
        <v>24</v>
      </c>
      <c r="Z194" s="54">
        <f t="shared" si="1051"/>
        <v>24</v>
      </c>
      <c r="AA194" s="54">
        <f t="shared" si="1051"/>
        <v>72</v>
      </c>
      <c r="AB194" s="54">
        <f t="shared" si="1051"/>
        <v>84</v>
      </c>
      <c r="AC194" s="54">
        <f t="shared" si="1051"/>
        <v>58</v>
      </c>
      <c r="AD194" s="54">
        <f t="shared" si="1051"/>
        <v>76</v>
      </c>
      <c r="AE194" s="54">
        <f t="shared" si="1051"/>
        <v>56</v>
      </c>
      <c r="AF194" s="54">
        <f t="shared" si="1051"/>
        <v>46</v>
      </c>
      <c r="AG194" s="54">
        <f t="shared" si="1051"/>
        <v>40</v>
      </c>
      <c r="AH194" s="54">
        <f t="shared" si="1051"/>
        <v>46</v>
      </c>
      <c r="AI194" s="54">
        <f t="shared" si="1051"/>
        <v>33</v>
      </c>
      <c r="AJ194" s="54">
        <f t="shared" si="1051"/>
        <v>45</v>
      </c>
      <c r="AK194" s="54">
        <f t="shared" si="1051"/>
        <v>41</v>
      </c>
      <c r="AL194" s="54">
        <f t="shared" si="1051"/>
        <v>30</v>
      </c>
      <c r="AM194" s="54">
        <f t="shared" si="1051"/>
        <v>40</v>
      </c>
      <c r="AN194" s="54">
        <f t="shared" si="1051"/>
        <v>37</v>
      </c>
      <c r="AO194" s="54">
        <f t="shared" si="1051"/>
        <v>19</v>
      </c>
      <c r="AP194" s="54">
        <f t="shared" si="1051"/>
        <v>35</v>
      </c>
      <c r="AQ194" s="54">
        <f t="shared" si="1051"/>
        <v>23</v>
      </c>
      <c r="AR194" s="54">
        <f t="shared" si="1051"/>
        <v>29</v>
      </c>
      <c r="AS194" s="54">
        <f t="shared" si="1051"/>
        <v>21</v>
      </c>
      <c r="AT194" s="54">
        <f t="shared" si="1051"/>
        <v>25</v>
      </c>
      <c r="AU194" s="54">
        <f t="shared" si="1051"/>
        <v>25</v>
      </c>
      <c r="AV194" s="54">
        <f t="shared" si="1051"/>
        <v>19</v>
      </c>
      <c r="AW194" s="54">
        <f t="shared" si="1051"/>
        <v>11</v>
      </c>
      <c r="AX194" s="54">
        <f t="shared" si="1051"/>
        <v>8</v>
      </c>
    </row>
    <row r="195" spans="12:50" x14ac:dyDescent="0.3">
      <c r="O195" s="55" t="s">
        <v>5</v>
      </c>
      <c r="P195" s="57">
        <f t="shared" ref="P195:AT195" si="1052">+SUMIF(P$20:P$46,"",$O$20:$O$46)</f>
        <v>16</v>
      </c>
      <c r="Q195" s="57">
        <f t="shared" si="1052"/>
        <v>16</v>
      </c>
      <c r="R195" s="57">
        <f t="shared" si="1052"/>
        <v>24</v>
      </c>
      <c r="S195" s="57">
        <f t="shared" si="1052"/>
        <v>24</v>
      </c>
      <c r="T195" s="57">
        <f t="shared" si="1052"/>
        <v>24</v>
      </c>
      <c r="U195" s="57">
        <f t="shared" si="1052"/>
        <v>24</v>
      </c>
      <c r="V195" s="57">
        <f t="shared" si="1052"/>
        <v>24</v>
      </c>
      <c r="W195" s="57">
        <f t="shared" si="1052"/>
        <v>24</v>
      </c>
      <c r="X195" s="57">
        <f t="shared" si="1052"/>
        <v>24</v>
      </c>
      <c r="Y195" s="57">
        <f t="shared" si="1052"/>
        <v>24</v>
      </c>
      <c r="Z195" s="57">
        <f t="shared" si="1052"/>
        <v>24</v>
      </c>
      <c r="AA195" s="57">
        <f t="shared" si="1052"/>
        <v>24</v>
      </c>
      <c r="AB195" s="57">
        <f t="shared" si="1052"/>
        <v>24</v>
      </c>
      <c r="AC195" s="57">
        <f t="shared" si="1052"/>
        <v>24</v>
      </c>
      <c r="AD195" s="57">
        <f t="shared" si="1052"/>
        <v>24</v>
      </c>
      <c r="AE195" s="57">
        <f t="shared" si="1052"/>
        <v>10</v>
      </c>
      <c r="AF195" s="57">
        <f t="shared" si="1052"/>
        <v>8</v>
      </c>
      <c r="AG195" s="57">
        <f t="shared" si="1052"/>
        <v>8</v>
      </c>
      <c r="AH195" s="57">
        <f t="shared" si="1052"/>
        <v>16</v>
      </c>
      <c r="AI195" s="57">
        <f t="shared" si="1052"/>
        <v>19</v>
      </c>
      <c r="AJ195" s="57">
        <f t="shared" si="1052"/>
        <v>19</v>
      </c>
      <c r="AK195" s="57">
        <f t="shared" si="1052"/>
        <v>22</v>
      </c>
      <c r="AL195" s="57">
        <f t="shared" si="1052"/>
        <v>14</v>
      </c>
      <c r="AM195" s="57">
        <f t="shared" si="1052"/>
        <v>22</v>
      </c>
      <c r="AN195" s="57">
        <f t="shared" si="1052"/>
        <v>19</v>
      </c>
      <c r="AO195" s="57">
        <f t="shared" si="1052"/>
        <v>19</v>
      </c>
      <c r="AP195" s="57">
        <f t="shared" si="1052"/>
        <v>19</v>
      </c>
      <c r="AQ195" s="57">
        <f t="shared" si="1052"/>
        <v>19</v>
      </c>
      <c r="AR195" s="57">
        <f t="shared" si="1052"/>
        <v>19</v>
      </c>
      <c r="AS195" s="57">
        <f t="shared" si="1052"/>
        <v>19</v>
      </c>
      <c r="AT195" s="57">
        <f t="shared" si="1052"/>
        <v>19</v>
      </c>
      <c r="AU195" s="57">
        <f>+SUMIF(AU$20:AU$46,1,$O$20:$O$46)/AU$194</f>
        <v>0</v>
      </c>
      <c r="AV195" s="57">
        <f>+SUMIF(AV$20:AV$46,1,$O$20:$O$46)/AV$194</f>
        <v>0</v>
      </c>
      <c r="AW195" s="57">
        <f>+SUMIF(AW$20:AW$46,1,$O$20:$O$46)/AW$194</f>
        <v>0</v>
      </c>
      <c r="AX195" s="57">
        <f>+SUMIF(AX$20:AX$46,1,$O$20:$O$46)/AX$194</f>
        <v>0</v>
      </c>
    </row>
    <row r="196" spans="12:50" x14ac:dyDescent="0.3">
      <c r="O196" s="55" t="s">
        <v>6</v>
      </c>
      <c r="P196" s="56">
        <f t="shared" ref="P196:AT196" si="1053">+SUMIF(P$48:P$141,"",$O$48:$O$141)</f>
        <v>0</v>
      </c>
      <c r="Q196" s="56">
        <f t="shared" si="1053"/>
        <v>0</v>
      </c>
      <c r="R196" s="56">
        <f t="shared" si="1053"/>
        <v>0</v>
      </c>
      <c r="S196" s="56">
        <f t="shared" si="1053"/>
        <v>0</v>
      </c>
      <c r="T196" s="56">
        <f t="shared" si="1053"/>
        <v>0</v>
      </c>
      <c r="U196" s="56">
        <f t="shared" si="1053"/>
        <v>0</v>
      </c>
      <c r="V196" s="56">
        <f t="shared" si="1053"/>
        <v>0</v>
      </c>
      <c r="W196" s="56">
        <f t="shared" si="1053"/>
        <v>0</v>
      </c>
      <c r="X196" s="56">
        <f t="shared" si="1053"/>
        <v>0</v>
      </c>
      <c r="Y196" s="56">
        <f t="shared" si="1053"/>
        <v>0</v>
      </c>
      <c r="Z196" s="56">
        <f t="shared" si="1053"/>
        <v>0</v>
      </c>
      <c r="AA196" s="56">
        <f t="shared" si="1053"/>
        <v>48</v>
      </c>
      <c r="AB196" s="56">
        <f t="shared" si="1053"/>
        <v>60</v>
      </c>
      <c r="AC196" s="56">
        <f t="shared" si="1053"/>
        <v>34</v>
      </c>
      <c r="AD196" s="56">
        <f t="shared" si="1053"/>
        <v>52</v>
      </c>
      <c r="AE196" s="56">
        <f t="shared" si="1053"/>
        <v>46</v>
      </c>
      <c r="AF196" s="56">
        <f t="shared" si="1053"/>
        <v>38</v>
      </c>
      <c r="AG196" s="56">
        <f t="shared" si="1053"/>
        <v>32</v>
      </c>
      <c r="AH196" s="56">
        <f t="shared" si="1053"/>
        <v>30</v>
      </c>
      <c r="AI196" s="56">
        <f t="shared" si="1053"/>
        <v>14</v>
      </c>
      <c r="AJ196" s="56">
        <f t="shared" si="1053"/>
        <v>26</v>
      </c>
      <c r="AK196" s="56">
        <f t="shared" si="1053"/>
        <v>19</v>
      </c>
      <c r="AL196" s="56">
        <f t="shared" si="1053"/>
        <v>16</v>
      </c>
      <c r="AM196" s="56">
        <f t="shared" si="1053"/>
        <v>18</v>
      </c>
      <c r="AN196" s="56">
        <f t="shared" si="1053"/>
        <v>18</v>
      </c>
      <c r="AO196" s="56">
        <f t="shared" si="1053"/>
        <v>0</v>
      </c>
      <c r="AP196" s="56">
        <f t="shared" si="1053"/>
        <v>16</v>
      </c>
      <c r="AQ196" s="56">
        <f t="shared" si="1053"/>
        <v>4</v>
      </c>
      <c r="AR196" s="56">
        <f t="shared" si="1053"/>
        <v>10</v>
      </c>
      <c r="AS196" s="56">
        <f t="shared" si="1053"/>
        <v>2</v>
      </c>
      <c r="AT196" s="56">
        <f t="shared" si="1053"/>
        <v>6</v>
      </c>
      <c r="AU196" s="56">
        <f>+SUMIF(AU$48:AU$141,1,$O$48:$O$141)</f>
        <v>0</v>
      </c>
      <c r="AV196" s="56">
        <f>+SUMIF(AV$48:AV$141,1,$O$48:$O$141)</f>
        <v>0</v>
      </c>
      <c r="AW196" s="56">
        <f>+SUMIF(AW$48:AW$141,1,$O$48:$O$141)</f>
        <v>0</v>
      </c>
      <c r="AX196" s="56">
        <f>+SUMIF(AX$48:AX$141,1,$O$48:$O$141)</f>
        <v>0</v>
      </c>
    </row>
  </sheetData>
  <sheetProtection formatCells="0" formatRows="0" insertColumns="0" insertRows="0"/>
  <mergeCells count="26">
    <mergeCell ref="AE8:AL8"/>
    <mergeCell ref="AE9:AL9"/>
    <mergeCell ref="AM8:AP8"/>
    <mergeCell ref="D14:D16"/>
    <mergeCell ref="AR15:AX15"/>
    <mergeCell ref="AK15:AQ15"/>
    <mergeCell ref="H14:H16"/>
    <mergeCell ref="I14:I16"/>
    <mergeCell ref="P14:AF14"/>
    <mergeCell ref="AG14:AX14"/>
    <mergeCell ref="K14:K16"/>
    <mergeCell ref="L14:L16"/>
    <mergeCell ref="M14:M16"/>
    <mergeCell ref="N14:N16"/>
    <mergeCell ref="O14:O16"/>
    <mergeCell ref="D11:F11"/>
    <mergeCell ref="D13:F13"/>
    <mergeCell ref="AY14:AY16"/>
    <mergeCell ref="P15:V15"/>
    <mergeCell ref="W15:AC15"/>
    <mergeCell ref="AD15:AJ15"/>
    <mergeCell ref="F14:F16"/>
    <mergeCell ref="E14:E16"/>
    <mergeCell ref="J14:J16"/>
    <mergeCell ref="G14:G16"/>
    <mergeCell ref="AM13:AX13"/>
  </mergeCells>
  <conditionalFormatting sqref="P148:AX192">
    <cfRule type="expression" dxfId="78" priority="128" stopIfTrue="1">
      <formula>P$194&gt;$O148</formula>
    </cfRule>
  </conditionalFormatting>
  <conditionalFormatting sqref="F49:F69 F71:F91 F115:F139 F93:F113 F20:F21 F23:F46">
    <cfRule type="cellIs" dxfId="77" priority="119" operator="between">
      <formula>0.85</formula>
      <formula>1</formula>
    </cfRule>
    <cfRule type="cellIs" dxfId="76" priority="120" operator="between">
      <formula>0.3</formula>
      <formula>0.85</formula>
    </cfRule>
  </conditionalFormatting>
  <conditionalFormatting sqref="F49:F69 F71:F91 F115:F139 F93:F113 F20:F21 F23:F46">
    <cfRule type="cellIs" dxfId="75" priority="118" operator="between">
      <formula>0</formula>
      <formula>0.3</formula>
    </cfRule>
  </conditionalFormatting>
  <conditionalFormatting sqref="G14">
    <cfRule type="cellIs" dxfId="74" priority="116" operator="between">
      <formula>0.85</formula>
      <formula>1</formula>
    </cfRule>
    <cfRule type="cellIs" dxfId="73" priority="117" operator="between">
      <formula>0.3</formula>
      <formula>0.85</formula>
    </cfRule>
  </conditionalFormatting>
  <conditionalFormatting sqref="K10">
    <cfRule type="expression" dxfId="72" priority="50">
      <formula>$L$10="Ngày BC"</formula>
    </cfRule>
  </conditionalFormatting>
  <conditionalFormatting sqref="K9">
    <cfRule type="expression" dxfId="71" priority="49">
      <formula>$L$9="Quá hạn"</formula>
    </cfRule>
  </conditionalFormatting>
  <conditionalFormatting sqref="N9">
    <cfRule type="expression" dxfId="70" priority="48">
      <formula>$O$9="Ngày KTTT"</formula>
    </cfRule>
  </conditionalFormatting>
  <conditionalFormatting sqref="N10">
    <cfRule type="expression" dxfId="69" priority="47">
      <formula>$O$10="Ngày BĐTT"</formula>
    </cfRule>
  </conditionalFormatting>
  <conditionalFormatting sqref="P19:AX21 P23:AX141">
    <cfRule type="expression" dxfId="68" priority="20">
      <formula>$H$12&lt;P$16</formula>
    </cfRule>
    <cfRule type="expression" dxfId="67" priority="21">
      <formula>$H$12=P$16</formula>
    </cfRule>
    <cfRule type="expression" dxfId="66" priority="22">
      <formula>$K19&lt;P$16</formula>
    </cfRule>
    <cfRule type="expression" dxfId="65" priority="23">
      <formula>$K19=P$16</formula>
    </cfRule>
    <cfRule type="expression" dxfId="64" priority="24">
      <formula>$I19=P$16</formula>
    </cfRule>
    <cfRule type="expression" dxfId="63" priority="25">
      <formula>IF(AND($J19&lt;P$16,$K19&gt;=P$16),TRUE,FALSE)</formula>
    </cfRule>
    <cfRule type="expression" dxfId="62" priority="26">
      <formula>IF(AND($I19&gt;P$16,$H19&lt;=P$16),TRUE,FALSE)</formula>
    </cfRule>
    <cfRule type="expression" dxfId="61" priority="27">
      <formula>IF(AND($I19&lt;=P$16,$J19&gt;=P$16),TRUE,FALSE)</formula>
    </cfRule>
    <cfRule type="expression" dxfId="60" priority="28">
      <formula>IF(AND($H19&lt;=P$16,$J19&gt;=P$16),TRUE,FALSE)</formula>
    </cfRule>
  </conditionalFormatting>
  <conditionalFormatting sqref="AM8:AP8">
    <cfRule type="expression" dxfId="59" priority="15">
      <formula>$AQ$8=0</formula>
    </cfRule>
    <cfRule type="expression" dxfId="58" priority="16">
      <formula>$AQ$8=1</formula>
    </cfRule>
  </conditionalFormatting>
  <conditionalFormatting sqref="O148:AV192 Q148:AX168">
    <cfRule type="expression" dxfId="57" priority="650">
      <formula>P$193&gt;$H$12+1</formula>
    </cfRule>
  </conditionalFormatting>
  <conditionalFormatting sqref="P148:AX192">
    <cfRule type="expression" dxfId="56" priority="652">
      <formula>P$193&gt;$H$12</formula>
    </cfRule>
    <cfRule type="expression" dxfId="55" priority="653">
      <formula>P$193&gt;$H$12</formula>
    </cfRule>
  </conditionalFormatting>
  <conditionalFormatting sqref="P194:AX196">
    <cfRule type="expression" dxfId="54" priority="654">
      <formula>P$193&gt;$H$12</formula>
    </cfRule>
  </conditionalFormatting>
  <conditionalFormatting sqref="F22">
    <cfRule type="cellIs" dxfId="53" priority="13" operator="between">
      <formula>0.85</formula>
      <formula>1</formula>
    </cfRule>
    <cfRule type="cellIs" dxfId="52" priority="14" operator="between">
      <formula>0.3</formula>
      <formula>0.85</formula>
    </cfRule>
  </conditionalFormatting>
  <conditionalFormatting sqref="F22">
    <cfRule type="cellIs" dxfId="51" priority="12" operator="between">
      <formula>0</formula>
      <formula>0.3</formula>
    </cfRule>
  </conditionalFormatting>
  <conditionalFormatting sqref="P22:AX22">
    <cfRule type="expression" dxfId="50" priority="1">
      <formula>$H$12&lt;P$16</formula>
    </cfRule>
    <cfRule type="expression" dxfId="49" priority="2">
      <formula>$H$12=P$16</formula>
    </cfRule>
    <cfRule type="expression" dxfId="48" priority="3">
      <formula>$K22&lt;P$16</formula>
    </cfRule>
    <cfRule type="expression" dxfId="47" priority="4">
      <formula>$K22=P$16</formula>
    </cfRule>
    <cfRule type="expression" dxfId="46" priority="5">
      <formula>$I22=P$16</formula>
    </cfRule>
    <cfRule type="expression" dxfId="45" priority="6">
      <formula>IF(AND($J22&lt;P$16,$K22&gt;=P$16),TRUE,FALSE)</formula>
    </cfRule>
    <cfRule type="expression" dxfId="44" priority="7">
      <formula>IF(AND($I22&gt;P$16,$H22&lt;=P$16),TRUE,FALSE)</formula>
    </cfRule>
    <cfRule type="expression" dxfId="43" priority="8">
      <formula>IF(AND($I22&lt;=P$16,$J22&gt;=P$16),TRUE,FALSE)</formula>
    </cfRule>
    <cfRule type="expression" dxfId="42" priority="9">
      <formula>IF(AND($H22&lt;=P$16,$J22&gt;=P$16),TRUE,FALSE)</formula>
    </cfRule>
  </conditionalFormatting>
  <printOptions horizontalCentered="1"/>
  <pageMargins left="0.23622047244094491" right="0.19685039370078741" top="0.51181102362204722" bottom="0.23622047244094491" header="0.23622047244094491" footer="0.23622047244094491"/>
  <pageSetup paperSize="8" scale="76" orientation="landscape" r:id="rId1"/>
  <headerFooter>
    <oddFooter>Page &amp;P of &amp;N</oddFooter>
  </headerFooter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autoLine="0" r:id="rId5">
            <anchor moveWithCells="1">
              <from>
                <xdr:col>16</xdr:col>
                <xdr:colOff>7620</xdr:colOff>
                <xdr:row>198</xdr:row>
                <xdr:rowOff>38100</xdr:rowOff>
              </from>
              <to>
                <xdr:col>20</xdr:col>
                <xdr:colOff>99060</xdr:colOff>
                <xdr:row>199</xdr:row>
                <xdr:rowOff>167640</xdr:rowOff>
              </to>
            </anchor>
          </controlPr>
        </control>
      </mc:Choice>
      <mc:Fallback>
        <control shapeId="1025" r:id="rId4" name="CommandButton1"/>
      </mc:Fallback>
    </mc:AlternateContent>
  </controls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6" operator="containsText" id="{8FA3C182-7248-4ACF-86BD-D83A995CB8BF}">
            <xm:f>NOT(ISERROR(SEARCH("NO",G19)))</xm:f>
            <xm:f>"NO"</xm:f>
            <x14:dxf>
              <fill>
                <gradientFill degree="90">
                  <stop position="0">
                    <color theme="0"/>
                  </stop>
                  <stop position="1">
                    <color rgb="FFFF7C80"/>
                  </stop>
                </gradientFill>
              </fill>
            </x14:dxf>
          </x14:cfRule>
          <x14:cfRule type="containsText" priority="97" operator="containsText" id="{642748AE-4542-4C11-8B0F-5A02E6C2F72C}">
            <xm:f>NOT(ISERROR(SEARCH("YES",G19)))</xm:f>
            <xm:f>"YES"</xm:f>
            <x14:dxf>
              <fill>
                <gradientFill degree="90">
                  <stop position="0">
                    <color theme="0"/>
                  </stop>
                  <stop position="1">
                    <color rgb="FFC5F8BE"/>
                  </stop>
                </gradientFill>
              </fill>
            </x14:dxf>
          </x14:cfRule>
          <xm:sqref>G49:G141 G19:G21 G23:G47</xm:sqref>
        </x14:conditionalFormatting>
        <x14:conditionalFormatting xmlns:xm="http://schemas.microsoft.com/office/excel/2006/main">
          <x14:cfRule type="containsText" priority="10" operator="containsText" id="{9DB1B0EB-041B-4506-BFD7-CBFA85B3DB6F}">
            <xm:f>NOT(ISERROR(SEARCH("NO",G22)))</xm:f>
            <xm:f>"NO"</xm:f>
            <x14:dxf>
              <fill>
                <gradientFill degree="90">
                  <stop position="0">
                    <color theme="0"/>
                  </stop>
                  <stop position="1">
                    <color rgb="FFFF7C80"/>
                  </stop>
                </gradientFill>
              </fill>
            </x14:dxf>
          </x14:cfRule>
          <x14:cfRule type="containsText" priority="11" operator="containsText" id="{2FC47CD6-9B73-4568-8244-593660466CCB}">
            <xm:f>NOT(ISERROR(SEARCH("YES",G22)))</xm:f>
            <xm:f>"YES"</xm:f>
            <x14:dxf>
              <fill>
                <gradientFill degree="90">
                  <stop position="0">
                    <color theme="0"/>
                  </stop>
                  <stop position="1">
                    <color rgb="FFC5F8BE"/>
                  </stop>
                </gradientFill>
              </fill>
            </x14:dxf>
          </x14:cfRule>
          <xm:sqref>G22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TĐ .BOH</vt:lpstr>
      <vt:lpstr>'TĐ .BOH'!Print_Area</vt:lpstr>
      <vt:lpstr>'TĐ .BOH'!Print_Titles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anhkhoa</dc:creator>
  <cp:lastModifiedBy>Admin</cp:lastModifiedBy>
  <cp:lastPrinted>2019-04-04T06:43:48Z</cp:lastPrinted>
  <dcterms:created xsi:type="dcterms:W3CDTF">2018-08-10T15:47:32Z</dcterms:created>
  <dcterms:modified xsi:type="dcterms:W3CDTF">2019-04-28T08:41:36Z</dcterms:modified>
</cp:coreProperties>
</file>