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BÁO CÁO\"/>
    </mc:Choice>
  </mc:AlternateContent>
  <bookViews>
    <workbookView xWindow="0" yWindow="0" windowWidth="20580" windowHeight="7860"/>
  </bookViews>
  <sheets>
    <sheet name="23.5.2021" sheetId="2" r:id="rId1"/>
    <sheet name="22.5.2021" sheetId="1" r:id="rId2"/>
  </sheets>
  <definedNames>
    <definedName name="_xlnm.Print_Area" localSheetId="1">'22.5.2021'!$A$1:$AJ$88</definedName>
    <definedName name="_xlnm.Print_Area" localSheetId="0">'23.5.2021'!$A$1:$AJ$88</definedName>
    <definedName name="xuanhoadao" localSheetId="1">'22.5.2021'!$A$1:$M$37</definedName>
    <definedName name="xuanhoadao" localSheetId="0">'23.5.2021'!$A$1:$M$37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82" i="2" l="1"/>
  <c r="T82" i="2"/>
  <c r="AF81" i="2"/>
  <c r="AF80" i="2"/>
  <c r="AF79" i="2"/>
  <c r="AF78" i="2"/>
  <c r="AF77" i="2"/>
  <c r="AF76" i="2"/>
  <c r="AF75" i="2"/>
  <c r="AF74" i="2"/>
  <c r="AF73" i="2"/>
  <c r="AF72" i="2"/>
  <c r="AF70" i="2"/>
  <c r="AF69" i="2"/>
  <c r="AF68" i="2"/>
  <c r="AF67" i="2"/>
  <c r="AF66" i="2"/>
  <c r="AF65" i="2"/>
  <c r="AI58" i="2"/>
  <c r="AH58" i="2" s="1"/>
  <c r="AE58" i="2"/>
  <c r="AA58" i="2"/>
  <c r="W58" i="2"/>
  <c r="S58" i="2"/>
  <c r="O58" i="2"/>
  <c r="AI57" i="2"/>
  <c r="AH57" i="2" s="1"/>
  <c r="AF57" i="2"/>
  <c r="AE57" i="2"/>
  <c r="AB57" i="2"/>
  <c r="AA57" i="2"/>
  <c r="X57" i="2"/>
  <c r="W57" i="2"/>
  <c r="V57" i="2"/>
  <c r="U57" i="2"/>
  <c r="T57" i="2"/>
  <c r="S57" i="2"/>
  <c r="R57" i="2"/>
  <c r="Q57" i="2"/>
  <c r="P57" i="2"/>
  <c r="O57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K38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O29" i="2"/>
  <c r="AJ28" i="2"/>
  <c r="AI27" i="2"/>
  <c r="AJ27" i="2" s="1"/>
  <c r="AG27" i="2"/>
  <c r="AE27" i="2"/>
  <c r="AC27" i="2"/>
  <c r="AA27" i="2"/>
  <c r="Y27" i="2"/>
  <c r="W27" i="2"/>
  <c r="U27" i="2"/>
  <c r="S27" i="2"/>
  <c r="Q27" i="2"/>
  <c r="O27" i="2"/>
  <c r="AI26" i="2"/>
  <c r="AH26" i="2" s="1"/>
  <c r="AE26" i="2"/>
  <c r="AA26" i="2"/>
  <c r="W26" i="2"/>
  <c r="S26" i="2"/>
  <c r="O26" i="2"/>
  <c r="AI25" i="2"/>
  <c r="AJ25" i="2" s="1"/>
  <c r="AG25" i="2"/>
  <c r="AC25" i="2"/>
  <c r="Y25" i="2"/>
  <c r="W25" i="2"/>
  <c r="U25" i="2"/>
  <c r="S25" i="2"/>
  <c r="Q25" i="2"/>
  <c r="O25" i="2"/>
  <c r="AI24" i="2"/>
  <c r="AH24" i="2" s="1"/>
  <c r="AE24" i="2"/>
  <c r="AA24" i="2"/>
  <c r="W24" i="2"/>
  <c r="S24" i="2"/>
  <c r="O24" i="2"/>
  <c r="AI23" i="2"/>
  <c r="AJ23" i="2" s="1"/>
  <c r="AG23" i="2"/>
  <c r="AE23" i="2"/>
  <c r="AC23" i="2"/>
  <c r="AA23" i="2"/>
  <c r="Y23" i="2"/>
  <c r="W23" i="2"/>
  <c r="U23" i="2"/>
  <c r="S23" i="2"/>
  <c r="Q23" i="2"/>
  <c r="O23" i="2"/>
  <c r="AI22" i="2"/>
  <c r="AH22" i="2" s="1"/>
  <c r="AE22" i="2"/>
  <c r="AA22" i="2"/>
  <c r="W22" i="2"/>
  <c r="S22" i="2"/>
  <c r="O22" i="2"/>
  <c r="AI21" i="2"/>
  <c r="AJ21" i="2" s="1"/>
  <c r="AG21" i="2"/>
  <c r="AE21" i="2"/>
  <c r="AC21" i="2"/>
  <c r="AA21" i="2"/>
  <c r="Y21" i="2"/>
  <c r="W21" i="2"/>
  <c r="U21" i="2"/>
  <c r="S21" i="2"/>
  <c r="Q21" i="2"/>
  <c r="O21" i="2"/>
  <c r="AI20" i="2"/>
  <c r="AH20" i="2" s="1"/>
  <c r="AE20" i="2"/>
  <c r="AA20" i="2"/>
  <c r="W20" i="2"/>
  <c r="S20" i="2"/>
  <c r="O20" i="2"/>
  <c r="AI19" i="2"/>
  <c r="AJ19" i="2" s="1"/>
  <c r="AG19" i="2"/>
  <c r="AC19" i="2"/>
  <c r="AA19" i="2"/>
  <c r="Y19" i="2"/>
  <c r="W19" i="2"/>
  <c r="U19" i="2"/>
  <c r="S19" i="2"/>
  <c r="Q19" i="2"/>
  <c r="O19" i="2"/>
  <c r="AI18" i="2"/>
  <c r="AH18" i="2" s="1"/>
  <c r="AE18" i="2"/>
  <c r="AA18" i="2"/>
  <c r="W18" i="2"/>
  <c r="S18" i="2"/>
  <c r="O18" i="2"/>
  <c r="AI17" i="2"/>
  <c r="AJ17" i="2" s="1"/>
  <c r="AG17" i="2"/>
  <c r="AE17" i="2"/>
  <c r="AC17" i="2"/>
  <c r="AA17" i="2"/>
  <c r="Y17" i="2"/>
  <c r="W17" i="2"/>
  <c r="U17" i="2"/>
  <c r="S17" i="2"/>
  <c r="Q17" i="2"/>
  <c r="O17" i="2"/>
  <c r="AJ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AN6" i="2"/>
  <c r="AF82" i="2" l="1"/>
  <c r="R17" i="2"/>
  <c r="V17" i="2"/>
  <c r="Z17" i="2"/>
  <c r="AD17" i="2"/>
  <c r="AH17" i="2"/>
  <c r="P18" i="2"/>
  <c r="T18" i="2"/>
  <c r="X18" i="2"/>
  <c r="AB18" i="2"/>
  <c r="AF18" i="2"/>
  <c r="AJ18" i="2"/>
  <c r="R19" i="2"/>
  <c r="V19" i="2"/>
  <c r="Z19" i="2"/>
  <c r="AD19" i="2"/>
  <c r="AH19" i="2"/>
  <c r="P20" i="2"/>
  <c r="T20" i="2"/>
  <c r="X20" i="2"/>
  <c r="AB20" i="2"/>
  <c r="AF20" i="2"/>
  <c r="AJ20" i="2"/>
  <c r="R21" i="2"/>
  <c r="V21" i="2"/>
  <c r="Z21" i="2"/>
  <c r="AD21" i="2"/>
  <c r="AH21" i="2"/>
  <c r="P22" i="2"/>
  <c r="T22" i="2"/>
  <c r="X22" i="2"/>
  <c r="AB22" i="2"/>
  <c r="AF22" i="2"/>
  <c r="AJ22" i="2"/>
  <c r="R23" i="2"/>
  <c r="V23" i="2"/>
  <c r="Z23" i="2"/>
  <c r="AD23" i="2"/>
  <c r="AH23" i="2"/>
  <c r="P24" i="2"/>
  <c r="T24" i="2"/>
  <c r="X24" i="2"/>
  <c r="AB24" i="2"/>
  <c r="AF24" i="2"/>
  <c r="AJ24" i="2"/>
  <c r="R25" i="2"/>
  <c r="V25" i="2"/>
  <c r="Z25" i="2"/>
  <c r="AD25" i="2"/>
  <c r="AH25" i="2"/>
  <c r="P26" i="2"/>
  <c r="T26" i="2"/>
  <c r="X26" i="2"/>
  <c r="AB26" i="2"/>
  <c r="AF26" i="2"/>
  <c r="AJ26" i="2"/>
  <c r="R27" i="2"/>
  <c r="V27" i="2"/>
  <c r="Z27" i="2"/>
  <c r="AD27" i="2"/>
  <c r="AH27" i="2"/>
  <c r="Y57" i="2"/>
  <c r="AC57" i="2"/>
  <c r="AG57" i="2"/>
  <c r="P58" i="2"/>
  <c r="T58" i="2"/>
  <c r="X58" i="2"/>
  <c r="AB58" i="2"/>
  <c r="AF58" i="2"/>
  <c r="Q18" i="2"/>
  <c r="Y18" i="2"/>
  <c r="AG18" i="2"/>
  <c r="AE19" i="2"/>
  <c r="Q20" i="2"/>
  <c r="U20" i="2"/>
  <c r="AC20" i="2"/>
  <c r="AG20" i="2"/>
  <c r="Y22" i="2"/>
  <c r="Y24" i="2"/>
  <c r="AA25" i="2"/>
  <c r="AE25" i="2"/>
  <c r="Q26" i="2"/>
  <c r="Y26" i="2"/>
  <c r="AG26" i="2"/>
  <c r="Z57" i="2"/>
  <c r="AD57" i="2"/>
  <c r="Q58" i="2"/>
  <c r="U58" i="2"/>
  <c r="Y58" i="2"/>
  <c r="AC58" i="2"/>
  <c r="AG58" i="2"/>
  <c r="U18" i="2"/>
  <c r="AC18" i="2"/>
  <c r="Y20" i="2"/>
  <c r="Q22" i="2"/>
  <c r="U22" i="2"/>
  <c r="AC22" i="2"/>
  <c r="AG22" i="2"/>
  <c r="Q24" i="2"/>
  <c r="U24" i="2"/>
  <c r="AC24" i="2"/>
  <c r="AG24" i="2"/>
  <c r="U26" i="2"/>
  <c r="AC26" i="2"/>
  <c r="P17" i="2"/>
  <c r="T17" i="2"/>
  <c r="X17" i="2"/>
  <c r="AB17" i="2"/>
  <c r="AF17" i="2"/>
  <c r="R18" i="2"/>
  <c r="V18" i="2"/>
  <c r="Z18" i="2"/>
  <c r="AD18" i="2"/>
  <c r="P19" i="2"/>
  <c r="T19" i="2"/>
  <c r="X19" i="2"/>
  <c r="AB19" i="2"/>
  <c r="AF19" i="2"/>
  <c r="R20" i="2"/>
  <c r="V20" i="2"/>
  <c r="Z20" i="2"/>
  <c r="AD20" i="2"/>
  <c r="P21" i="2"/>
  <c r="T21" i="2"/>
  <c r="X21" i="2"/>
  <c r="AB21" i="2"/>
  <c r="AF21" i="2"/>
  <c r="R22" i="2"/>
  <c r="V22" i="2"/>
  <c r="Z22" i="2"/>
  <c r="AD22" i="2"/>
  <c r="P23" i="2"/>
  <c r="T23" i="2"/>
  <c r="X23" i="2"/>
  <c r="AB23" i="2"/>
  <c r="AF23" i="2"/>
  <c r="R24" i="2"/>
  <c r="V24" i="2"/>
  <c r="Z24" i="2"/>
  <c r="AD24" i="2"/>
  <c r="P25" i="2"/>
  <c r="T25" i="2"/>
  <c r="X25" i="2"/>
  <c r="AB25" i="2"/>
  <c r="AF25" i="2"/>
  <c r="R26" i="2"/>
  <c r="V26" i="2"/>
  <c r="Z26" i="2"/>
  <c r="AD26" i="2"/>
  <c r="P27" i="2"/>
  <c r="T27" i="2"/>
  <c r="X27" i="2"/>
  <c r="AB27" i="2"/>
  <c r="AF27" i="2"/>
  <c r="R58" i="2"/>
  <c r="V58" i="2"/>
  <c r="Z58" i="2"/>
  <c r="AD58" i="2"/>
  <c r="Z82" i="1"/>
  <c r="T82" i="1"/>
  <c r="AF81" i="1"/>
  <c r="AF80" i="1"/>
  <c r="AF79" i="1"/>
  <c r="AF78" i="1"/>
  <c r="AF77" i="1"/>
  <c r="AF76" i="1"/>
  <c r="AF75" i="1"/>
  <c r="AF74" i="1"/>
  <c r="AF73" i="1"/>
  <c r="AF72" i="1"/>
  <c r="AF70" i="1"/>
  <c r="AF69" i="1"/>
  <c r="AF68" i="1"/>
  <c r="AF67" i="1"/>
  <c r="AF66" i="1"/>
  <c r="AF65" i="1"/>
  <c r="AI58" i="1"/>
  <c r="AH58" i="1" s="1"/>
  <c r="AE58" i="1"/>
  <c r="AA58" i="1"/>
  <c r="W58" i="1"/>
  <c r="S58" i="1"/>
  <c r="O58" i="1"/>
  <c r="AI57" i="1"/>
  <c r="AH57" i="1" s="1"/>
  <c r="AD57" i="1"/>
  <c r="AA57" i="1"/>
  <c r="Z57" i="1"/>
  <c r="W57" i="1"/>
  <c r="V57" i="1"/>
  <c r="S57" i="1"/>
  <c r="R57" i="1"/>
  <c r="O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AF53" i="1"/>
  <c r="AG53" i="1"/>
  <c r="AE53" i="1"/>
  <c r="AC53" i="1"/>
  <c r="AB53" i="1"/>
  <c r="AA53" i="1"/>
  <c r="Y53" i="1"/>
  <c r="X53" i="1"/>
  <c r="W53" i="1"/>
  <c r="U53" i="1"/>
  <c r="T53" i="1"/>
  <c r="S53" i="1"/>
  <c r="Q53" i="1"/>
  <c r="P53" i="1"/>
  <c r="O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AG51" i="1"/>
  <c r="AH51" i="1"/>
  <c r="AE51" i="1"/>
  <c r="AD51" i="1"/>
  <c r="AA51" i="1"/>
  <c r="Z51" i="1"/>
  <c r="W51" i="1"/>
  <c r="V51" i="1"/>
  <c r="S51" i="1"/>
  <c r="R51" i="1"/>
  <c r="O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AH49" i="1"/>
  <c r="S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O29" i="1"/>
  <c r="AI27" i="1"/>
  <c r="AH27" i="1" s="1"/>
  <c r="AI26" i="1"/>
  <c r="AJ26" i="1" s="1"/>
  <c r="AI25" i="1"/>
  <c r="AF25" i="1" s="1"/>
  <c r="AI24" i="1"/>
  <c r="AJ24" i="1" s="1"/>
  <c r="AI23" i="1"/>
  <c r="AF23" i="1" s="1"/>
  <c r="AI22" i="1"/>
  <c r="AJ22" i="1" s="1"/>
  <c r="AI21" i="1"/>
  <c r="AF21" i="1" s="1"/>
  <c r="AI20" i="1"/>
  <c r="AJ20" i="1" s="1"/>
  <c r="AI19" i="1"/>
  <c r="AE19" i="1" s="1"/>
  <c r="AI18" i="1"/>
  <c r="AG18" i="1" s="1"/>
  <c r="AI17" i="1"/>
  <c r="AG17" i="1" s="1"/>
  <c r="Y16" i="1"/>
  <c r="S16" i="1"/>
  <c r="AN6" i="1"/>
  <c r="Q24" i="1" l="1"/>
  <c r="V24" i="1"/>
  <c r="Q19" i="1"/>
  <c r="R24" i="1"/>
  <c r="W24" i="1"/>
  <c r="AD24" i="1"/>
  <c r="AC24" i="1"/>
  <c r="S24" i="1"/>
  <c r="Y24" i="1"/>
  <c r="AE24" i="1"/>
  <c r="AE57" i="1"/>
  <c r="S18" i="1"/>
  <c r="O24" i="1"/>
  <c r="U24" i="1"/>
  <c r="Z24" i="1"/>
  <c r="AH24" i="1"/>
  <c r="W18" i="1"/>
  <c r="Q26" i="1"/>
  <c r="P57" i="1"/>
  <c r="T57" i="1"/>
  <c r="X57" i="1"/>
  <c r="AB57" i="1"/>
  <c r="AF57" i="1"/>
  <c r="Y18" i="1"/>
  <c r="Y26" i="1"/>
  <c r="Q57" i="1"/>
  <c r="U57" i="1"/>
  <c r="Y57" i="1"/>
  <c r="AC57" i="1"/>
  <c r="AG57" i="1"/>
  <c r="AH18" i="1"/>
  <c r="W20" i="1"/>
  <c r="AA23" i="1"/>
  <c r="S25" i="1"/>
  <c r="R18" i="1"/>
  <c r="AC18" i="1"/>
  <c r="S19" i="1"/>
  <c r="Q20" i="1"/>
  <c r="AA20" i="1"/>
  <c r="S23" i="1"/>
  <c r="AA24" i="1"/>
  <c r="AG24" i="1"/>
  <c r="AA25" i="1"/>
  <c r="T26" i="1"/>
  <c r="AC26" i="1"/>
  <c r="S27" i="1"/>
  <c r="X19" i="1"/>
  <c r="R20" i="1"/>
  <c r="AC20" i="1"/>
  <c r="S22" i="1"/>
  <c r="U26" i="1"/>
  <c r="AD26" i="1"/>
  <c r="X17" i="1"/>
  <c r="AF19" i="1"/>
  <c r="V20" i="1"/>
  <c r="AH20" i="1"/>
  <c r="Y22" i="1"/>
  <c r="P26" i="1"/>
  <c r="X26" i="1"/>
  <c r="AH26" i="1"/>
  <c r="AD18" i="1"/>
  <c r="T27" i="1"/>
  <c r="AB27" i="1"/>
  <c r="W49" i="1"/>
  <c r="AA19" i="1"/>
  <c r="O18" i="1"/>
  <c r="Z18" i="1"/>
  <c r="O19" i="1"/>
  <c r="AB19" i="1"/>
  <c r="Y20" i="1"/>
  <c r="Q22" i="1"/>
  <c r="V26" i="1"/>
  <c r="O27" i="1"/>
  <c r="AE27" i="1"/>
  <c r="AA49" i="1"/>
  <c r="AF82" i="1"/>
  <c r="AD22" i="1"/>
  <c r="AA27" i="1"/>
  <c r="O22" i="1"/>
  <c r="U22" i="1"/>
  <c r="Z22" i="1"/>
  <c r="AE22" i="1"/>
  <c r="AJ27" i="1"/>
  <c r="U18" i="1"/>
  <c r="AE18" i="1"/>
  <c r="T19" i="1"/>
  <c r="AJ19" i="1"/>
  <c r="S20" i="1"/>
  <c r="AD20" i="1"/>
  <c r="S21" i="1"/>
  <c r="V22" i="1"/>
  <c r="AA22" i="1"/>
  <c r="AG22" i="1"/>
  <c r="R26" i="1"/>
  <c r="Z26" i="1"/>
  <c r="AE26" i="1"/>
  <c r="W27" i="1"/>
  <c r="S17" i="1"/>
  <c r="Q18" i="1"/>
  <c r="V18" i="1"/>
  <c r="AA18" i="1"/>
  <c r="P19" i="1"/>
  <c r="W19" i="1"/>
  <c r="O20" i="1"/>
  <c r="U20" i="1"/>
  <c r="Z20" i="1"/>
  <c r="AG20" i="1"/>
  <c r="AA21" i="1"/>
  <c r="R22" i="1"/>
  <c r="W22" i="1"/>
  <c r="AC22" i="1"/>
  <c r="AH22" i="1"/>
  <c r="O26" i="1"/>
  <c r="S26" i="1"/>
  <c r="W26" i="1"/>
  <c r="AA26" i="1"/>
  <c r="AG26" i="1"/>
  <c r="P27" i="1"/>
  <c r="X27" i="1"/>
  <c r="AF27" i="1"/>
  <c r="O49" i="1"/>
  <c r="AE49" i="1"/>
  <c r="R53" i="1"/>
  <c r="V53" i="1"/>
  <c r="Z53" i="1"/>
  <c r="AD53" i="1"/>
  <c r="AJ16" i="1"/>
  <c r="AJ28" i="1" s="1"/>
  <c r="AF16" i="1"/>
  <c r="AB16" i="1"/>
  <c r="X16" i="1"/>
  <c r="T16" i="1"/>
  <c r="P16" i="1"/>
  <c r="Q16" i="1"/>
  <c r="AA16" i="1"/>
  <c r="AG16" i="1"/>
  <c r="U17" i="1"/>
  <c r="AF17" i="1"/>
  <c r="R16" i="1"/>
  <c r="W16" i="1"/>
  <c r="AC16" i="1"/>
  <c r="AH16" i="1"/>
  <c r="Q17" i="1"/>
  <c r="W17" i="1"/>
  <c r="AB17" i="1"/>
  <c r="P21" i="1"/>
  <c r="X21" i="1"/>
  <c r="P23" i="1"/>
  <c r="X23" i="1"/>
  <c r="P25" i="1"/>
  <c r="X25" i="1"/>
  <c r="AH17" i="1"/>
  <c r="AD17" i="1"/>
  <c r="Z17" i="1"/>
  <c r="V17" i="1"/>
  <c r="R17" i="1"/>
  <c r="AH21" i="1"/>
  <c r="AD21" i="1"/>
  <c r="Z21" i="1"/>
  <c r="V21" i="1"/>
  <c r="R21" i="1"/>
  <c r="U21" i="1"/>
  <c r="AG21" i="1"/>
  <c r="AC21" i="1"/>
  <c r="Y21" i="1"/>
  <c r="Q21" i="1"/>
  <c r="AH25" i="1"/>
  <c r="AD25" i="1"/>
  <c r="Z25" i="1"/>
  <c r="V25" i="1"/>
  <c r="R25" i="1"/>
  <c r="AG25" i="1"/>
  <c r="AC25" i="1"/>
  <c r="Y25" i="1"/>
  <c r="U25" i="1"/>
  <c r="Q25" i="1"/>
  <c r="AC17" i="1"/>
  <c r="AH23" i="1"/>
  <c r="AD23" i="1"/>
  <c r="Z23" i="1"/>
  <c r="V23" i="1"/>
  <c r="R23" i="1"/>
  <c r="AG23" i="1"/>
  <c r="AC23" i="1"/>
  <c r="Y23" i="1"/>
  <c r="U23" i="1"/>
  <c r="Q23" i="1"/>
  <c r="O16" i="1"/>
  <c r="U16" i="1"/>
  <c r="Z16" i="1"/>
  <c r="AE16" i="1"/>
  <c r="O17" i="1"/>
  <c r="T17" i="1"/>
  <c r="Y17" i="1"/>
  <c r="AE17" i="1"/>
  <c r="AJ17" i="1"/>
  <c r="AJ18" i="1"/>
  <c r="AF18" i="1"/>
  <c r="AB18" i="1"/>
  <c r="X18" i="1"/>
  <c r="T18" i="1"/>
  <c r="P18" i="1"/>
  <c r="AH19" i="1"/>
  <c r="AD19" i="1"/>
  <c r="Z19" i="1"/>
  <c r="V19" i="1"/>
  <c r="R19" i="1"/>
  <c r="AG19" i="1"/>
  <c r="AC19" i="1"/>
  <c r="U19" i="1"/>
  <c r="Y19" i="1"/>
  <c r="T21" i="1"/>
  <c r="AB21" i="1"/>
  <c r="AJ21" i="1"/>
  <c r="T23" i="1"/>
  <c r="AB23" i="1"/>
  <c r="AJ23" i="1"/>
  <c r="T25" i="1"/>
  <c r="AB25" i="1"/>
  <c r="AJ25" i="1"/>
  <c r="AD16" i="1"/>
  <c r="V16" i="1"/>
  <c r="P17" i="1"/>
  <c r="AA17" i="1"/>
  <c r="O21" i="1"/>
  <c r="W21" i="1"/>
  <c r="AE21" i="1"/>
  <c r="O23" i="1"/>
  <c r="W23" i="1"/>
  <c r="AE23" i="1"/>
  <c r="O25" i="1"/>
  <c r="W25" i="1"/>
  <c r="AE25" i="1"/>
  <c r="P49" i="1"/>
  <c r="T49" i="1"/>
  <c r="X49" i="1"/>
  <c r="AB49" i="1"/>
  <c r="AF49" i="1"/>
  <c r="AH53" i="1"/>
  <c r="P58" i="1"/>
  <c r="T58" i="1"/>
  <c r="X58" i="1"/>
  <c r="AB58" i="1"/>
  <c r="AF58" i="1"/>
  <c r="Q27" i="1"/>
  <c r="U27" i="1"/>
  <c r="Y27" i="1"/>
  <c r="AC27" i="1"/>
  <c r="AG27" i="1"/>
  <c r="Q49" i="1"/>
  <c r="U49" i="1"/>
  <c r="Y49" i="1"/>
  <c r="AC49" i="1"/>
  <c r="AG49" i="1"/>
  <c r="P51" i="1"/>
  <c r="T51" i="1"/>
  <c r="X51" i="1"/>
  <c r="AB51" i="1"/>
  <c r="AF51" i="1"/>
  <c r="Q58" i="1"/>
  <c r="U58" i="1"/>
  <c r="Y58" i="1"/>
  <c r="AC58" i="1"/>
  <c r="AG58" i="1"/>
  <c r="AE20" i="1"/>
  <c r="P20" i="1"/>
  <c r="T20" i="1"/>
  <c r="X20" i="1"/>
  <c r="AB20" i="1"/>
  <c r="AF20" i="1"/>
  <c r="P22" i="1"/>
  <c r="T22" i="1"/>
  <c r="X22" i="1"/>
  <c r="AB22" i="1"/>
  <c r="AF22" i="1"/>
  <c r="P24" i="1"/>
  <c r="T24" i="1"/>
  <c r="X24" i="1"/>
  <c r="AB24" i="1"/>
  <c r="AF24" i="1"/>
  <c r="AB26" i="1"/>
  <c r="AF26" i="1"/>
  <c r="R27" i="1"/>
  <c r="V27" i="1"/>
  <c r="Z27" i="1"/>
  <c r="AD27" i="1"/>
  <c r="R49" i="1"/>
  <c r="V49" i="1"/>
  <c r="Z49" i="1"/>
  <c r="AD49" i="1"/>
  <c r="Q51" i="1"/>
  <c r="U51" i="1"/>
  <c r="Y51" i="1"/>
  <c r="AC51" i="1"/>
  <c r="R58" i="1"/>
  <c r="V58" i="1"/>
  <c r="Z58" i="1"/>
  <c r="AD58" i="1"/>
</calcChain>
</file>

<file path=xl/comments1.xml><?xml version="1.0" encoding="utf-8"?>
<comments xmlns="http://schemas.openxmlformats.org/spreadsheetml/2006/main">
  <authors>
    <author>Y-Kishi</author>
    <author>Nguyen</author>
  </authors>
  <commentList>
    <comment ref="AL16" authorId="0" shapeId="0">
      <text>
        <r>
          <rPr>
            <b/>
            <sz val="12"/>
            <color indexed="81"/>
            <rFont val="ＭＳ Ｐゴシック"/>
            <charset val="163"/>
          </rPr>
          <t>Nhập tỷ lệ phần trăm tiến độ công việc đã thực hiện tính đến ngày hôm nay</t>
        </r>
        <r>
          <rPr>
            <b/>
            <sz val="10"/>
            <color indexed="81"/>
            <rFont val="ＭＳ Ｐゴシック"/>
            <charset val="163"/>
          </rPr>
          <t xml:space="preserve">
</t>
        </r>
        <r>
          <rPr>
            <i/>
            <sz val="10"/>
            <color indexed="81"/>
            <rFont val="ＭＳ Ｐゴシック"/>
            <charset val="163"/>
          </rPr>
          <t>Input the working percentage (rate) of today</t>
        </r>
      </text>
    </comment>
    <comment ref="B29" authorId="1" shapeId="0">
      <text>
        <r>
          <rPr>
            <b/>
            <sz val="9"/>
            <color indexed="81"/>
            <rFont val="Tahoma"/>
            <family val="2"/>
          </rPr>
          <t>Phần nội dung công việc được sửa thành nội dung phù hợp với từng công trường</t>
        </r>
      </text>
    </comment>
    <comment ref="AI34" authorId="1" shapeId="0">
      <text>
        <r>
          <rPr>
            <b/>
            <sz val="9"/>
            <color indexed="81"/>
            <rFont val="Tahoma"/>
            <family val="2"/>
          </rPr>
          <t>Copy công thức ô bên dưới dán lên nếu không ra kết quả</t>
        </r>
      </text>
    </comment>
    <comment ref="T62" authorId="1" shapeId="0">
      <text>
        <r>
          <rPr>
            <b/>
            <sz val="9"/>
            <color indexed="81"/>
            <rFont val="Tahoma"/>
            <family val="2"/>
          </rPr>
          <t xml:space="preserve">Hướng dẫn: 
</t>
        </r>
        <r>
          <rPr>
            <sz val="12"/>
            <color indexed="81"/>
            <rFont val="Tahoma"/>
            <family val="2"/>
          </rPr>
          <t>Tổng số công lũy kế tính từ đầu tháng (chưa bao gồm công làm thêm giờ)</t>
        </r>
      </text>
    </comment>
    <comment ref="Z62" authorId="1" shapeId="0">
      <text>
        <r>
          <rPr>
            <b/>
            <sz val="12"/>
            <color indexed="81"/>
            <rFont val="Tahoma"/>
            <family val="2"/>
          </rPr>
          <t xml:space="preserve">Hướng dẫn:
</t>
        </r>
        <r>
          <rPr>
            <sz val="12"/>
            <color indexed="81"/>
            <rFont val="Tahoma"/>
            <family val="2"/>
          </rPr>
          <t>Số người làm thực tế hôm nay tính đến 17h00'</t>
        </r>
      </text>
    </comment>
    <comment ref="AF62" authorId="1" shapeId="0">
      <text>
        <r>
          <rPr>
            <b/>
            <sz val="12"/>
            <color indexed="81"/>
            <rFont val="Tahoma"/>
            <family val="2"/>
          </rPr>
          <t>Hướng dẫn:</t>
        </r>
        <r>
          <rPr>
            <b/>
            <sz val="9"/>
            <color indexed="81"/>
            <rFont val="Tahoma"/>
            <family val="2"/>
          </rPr>
          <t xml:space="preserve">
      </t>
        </r>
        <r>
          <rPr>
            <sz val="12"/>
            <color indexed="81"/>
            <rFont val="Tahoma"/>
            <family val="2"/>
          </rPr>
          <t>Hết ngày thì copy cột "</t>
        </r>
        <r>
          <rPr>
            <b/>
            <sz val="12"/>
            <color indexed="81"/>
            <rFont val="Tahoma"/>
            <family val="2"/>
          </rPr>
          <t>Cộng</t>
        </r>
        <r>
          <rPr>
            <sz val="12"/>
            <color indexed="81"/>
            <rFont val="Tahoma"/>
            <family val="2"/>
          </rPr>
          <t>" này dán sang cột "</t>
        </r>
        <r>
          <rPr>
            <b/>
            <sz val="12"/>
            <color indexed="81"/>
            <rFont val="Tahoma"/>
            <family val="2"/>
          </rPr>
          <t>Lũy kế</t>
        </r>
        <r>
          <rPr>
            <sz val="12"/>
            <color indexed="81"/>
            <rFont val="Tahoma"/>
            <family val="2"/>
          </rPr>
          <t>". Lưu ý cách copy và dán giá trị:
1</t>
        </r>
        <r>
          <rPr>
            <sz val="12"/>
            <color indexed="12"/>
            <rFont val="Tahoma"/>
            <family val="2"/>
          </rPr>
          <t>- Bôi đen, copy toàn bộ vùng số ở cột tổng
2- Bấm chuột phải vào vùng định dán (vùng lũy kế)
3- Chọn Paste Special/Value</t>
        </r>
        <r>
          <rPr>
            <b/>
            <sz val="12"/>
            <color indexed="12"/>
            <rFont val="Tahoma"/>
            <family val="2"/>
          </rPr>
          <t xml:space="preserve">
Lưu ý: </t>
        </r>
        <r>
          <rPr>
            <sz val="12"/>
            <color indexed="12"/>
            <rFont val="Tahoma"/>
            <family val="2"/>
          </rPr>
          <t>Không sử dụng lệnh copy và paste thông thường vì chỉ copy được công thức mà không copy được giá trị.</t>
        </r>
      </text>
    </comment>
  </commentList>
</comments>
</file>

<file path=xl/comments2.xml><?xml version="1.0" encoding="utf-8"?>
<comments xmlns="http://schemas.openxmlformats.org/spreadsheetml/2006/main">
  <authors>
    <author>Y-Kishi</author>
    <author>Nguyen</author>
  </authors>
  <commentList>
    <comment ref="AL16" authorId="0" shapeId="0">
      <text>
        <r>
          <rPr>
            <b/>
            <sz val="12"/>
            <color indexed="81"/>
            <rFont val="ＭＳ Ｐゴシック"/>
            <charset val="163"/>
          </rPr>
          <t>Nhập tỷ lệ phần trăm tiến độ công việc đã thực hiện tính đến ngày hôm nay</t>
        </r>
        <r>
          <rPr>
            <b/>
            <sz val="10"/>
            <color indexed="81"/>
            <rFont val="ＭＳ Ｐゴシック"/>
            <charset val="163"/>
          </rPr>
          <t xml:space="preserve">
</t>
        </r>
        <r>
          <rPr>
            <i/>
            <sz val="10"/>
            <color indexed="81"/>
            <rFont val="ＭＳ Ｐゴシック"/>
            <charset val="163"/>
          </rPr>
          <t>Input the working percentage (rate) of today</t>
        </r>
      </text>
    </comment>
    <comment ref="B29" authorId="1" shapeId="0">
      <text>
        <r>
          <rPr>
            <b/>
            <sz val="9"/>
            <color indexed="81"/>
            <rFont val="Tahoma"/>
            <family val="2"/>
          </rPr>
          <t>Phần nội dung công việc được sửa thành nội dung phù hợp với từng công trường</t>
        </r>
      </text>
    </comment>
    <comment ref="AI34" authorId="1" shapeId="0">
      <text>
        <r>
          <rPr>
            <b/>
            <sz val="9"/>
            <color indexed="81"/>
            <rFont val="Tahoma"/>
            <family val="2"/>
          </rPr>
          <t>Copy công thức ô bên dưới dán lên nếu không ra kết quả</t>
        </r>
      </text>
    </comment>
    <comment ref="T62" authorId="1" shapeId="0">
      <text>
        <r>
          <rPr>
            <b/>
            <sz val="9"/>
            <color indexed="81"/>
            <rFont val="Tahoma"/>
            <family val="2"/>
          </rPr>
          <t xml:space="preserve">Hướng dẫn: 
</t>
        </r>
        <r>
          <rPr>
            <sz val="12"/>
            <color indexed="81"/>
            <rFont val="Tahoma"/>
            <family val="2"/>
          </rPr>
          <t>Tổng số công lũy kế tính từ đầu tháng (chưa bao gồm công làm thêm giờ)</t>
        </r>
      </text>
    </comment>
    <comment ref="Z62" authorId="1" shapeId="0">
      <text>
        <r>
          <rPr>
            <b/>
            <sz val="12"/>
            <color indexed="81"/>
            <rFont val="Tahoma"/>
            <family val="2"/>
          </rPr>
          <t xml:space="preserve">Hướng dẫn:
</t>
        </r>
        <r>
          <rPr>
            <sz val="12"/>
            <color indexed="81"/>
            <rFont val="Tahoma"/>
            <family val="2"/>
          </rPr>
          <t>Số người làm thực tế hôm nay tính đến 17h00'</t>
        </r>
      </text>
    </comment>
    <comment ref="AF62" authorId="1" shapeId="0">
      <text>
        <r>
          <rPr>
            <b/>
            <sz val="12"/>
            <color indexed="81"/>
            <rFont val="Tahoma"/>
            <family val="2"/>
          </rPr>
          <t>Hướng dẫn:</t>
        </r>
        <r>
          <rPr>
            <b/>
            <sz val="9"/>
            <color indexed="81"/>
            <rFont val="Tahoma"/>
            <family val="2"/>
          </rPr>
          <t xml:space="preserve">
      </t>
        </r>
        <r>
          <rPr>
            <sz val="12"/>
            <color indexed="81"/>
            <rFont val="Tahoma"/>
            <family val="2"/>
          </rPr>
          <t>Hết ngày thì copy cột "</t>
        </r>
        <r>
          <rPr>
            <b/>
            <sz val="12"/>
            <color indexed="81"/>
            <rFont val="Tahoma"/>
            <family val="2"/>
          </rPr>
          <t>Cộng</t>
        </r>
        <r>
          <rPr>
            <sz val="12"/>
            <color indexed="81"/>
            <rFont val="Tahoma"/>
            <family val="2"/>
          </rPr>
          <t>" này dán sang cột "</t>
        </r>
        <r>
          <rPr>
            <b/>
            <sz val="12"/>
            <color indexed="81"/>
            <rFont val="Tahoma"/>
            <family val="2"/>
          </rPr>
          <t>Lũy kế</t>
        </r>
        <r>
          <rPr>
            <sz val="12"/>
            <color indexed="81"/>
            <rFont val="Tahoma"/>
            <family val="2"/>
          </rPr>
          <t>". Lưu ý cách copy và dán giá trị:
1</t>
        </r>
        <r>
          <rPr>
            <sz val="12"/>
            <color indexed="12"/>
            <rFont val="Tahoma"/>
            <family val="2"/>
          </rPr>
          <t>- Bôi đen, copy toàn bộ vùng số ở cột tổng
2- Bấm chuột phải vào vùng định dán (vùng lũy kế)
3- Chọn Paste Special/Value</t>
        </r>
        <r>
          <rPr>
            <b/>
            <sz val="12"/>
            <color indexed="12"/>
            <rFont val="Tahoma"/>
            <family val="2"/>
          </rPr>
          <t xml:space="preserve">
Lưu ý: </t>
        </r>
        <r>
          <rPr>
            <sz val="12"/>
            <color indexed="12"/>
            <rFont val="Tahoma"/>
            <family val="2"/>
          </rPr>
          <t>Không sử dụng lệnh copy và paste thông thường vì chỉ copy được công thức mà không copy được giá trị.</t>
        </r>
      </text>
    </comment>
  </commentList>
</comments>
</file>

<file path=xl/sharedStrings.xml><?xml version="1.0" encoding="utf-8"?>
<sst xmlns="http://schemas.openxmlformats.org/spreadsheetml/2006/main" count="233" uniqueCount="92">
  <si>
    <r>
      <t xml:space="preserve">Người báo cáo:
</t>
    </r>
    <r>
      <rPr>
        <b/>
        <i/>
        <sz val="11"/>
        <color indexed="30"/>
        <rFont val="Times New Roman"/>
        <family val="1"/>
      </rPr>
      <t>Reported:</t>
    </r>
  </si>
  <si>
    <r>
      <t xml:space="preserve">Quản lý dự án
</t>
    </r>
    <r>
      <rPr>
        <b/>
        <i/>
        <sz val="11"/>
        <color indexed="30"/>
        <rFont val="Times New Roman"/>
        <family val="1"/>
      </rPr>
      <t>PM</t>
    </r>
  </si>
  <si>
    <t>BÁO CÁO CHI TIẾT TIẾN ĐỘ CÔNG VIỆC VÀ NHÂN LỰC HÀNG NGÀY</t>
  </si>
  <si>
    <t>Nguyễn Xuân Thắng</t>
  </si>
  <si>
    <t>DETAIL DAILY  WORKING REPORT</t>
  </si>
  <si>
    <r>
      <t>Địa chỉ/</t>
    </r>
    <r>
      <rPr>
        <i/>
        <sz val="12"/>
        <color indexed="30"/>
        <rFont val="Times New Roman"/>
        <family val="1"/>
      </rPr>
      <t>Add</t>
    </r>
    <r>
      <rPr>
        <sz val="12"/>
        <color indexed="30"/>
        <rFont val="Times New Roman"/>
        <family val="1"/>
      </rPr>
      <t>: Số 7-BT3-Bán đảo Linh Đàm</t>
    </r>
  </si>
  <si>
    <r>
      <t>Bộ phận/</t>
    </r>
    <r>
      <rPr>
        <i/>
        <sz val="14"/>
        <color indexed="30"/>
        <rFont val="Times New Roman"/>
        <family val="1"/>
      </rPr>
      <t>Dept</t>
    </r>
    <r>
      <rPr>
        <sz val="14"/>
        <color indexed="30"/>
        <rFont val="Times New Roman"/>
        <family val="1"/>
      </rPr>
      <t xml:space="preserve">: </t>
    </r>
    <r>
      <rPr>
        <b/>
        <sz val="14"/>
        <color indexed="30"/>
        <rFont val="Times New Roman"/>
        <family val="1"/>
      </rPr>
      <t>BAN CHỈ HUY CÔNG TRƯỜNG</t>
    </r>
  </si>
  <si>
    <r>
      <t>ĐT/</t>
    </r>
    <r>
      <rPr>
        <i/>
        <sz val="12"/>
        <color indexed="30"/>
        <rFont val="Times New Roman"/>
        <family val="1"/>
      </rPr>
      <t>Tel</t>
    </r>
    <r>
      <rPr>
        <sz val="12"/>
        <color indexed="30"/>
        <rFont val="Times New Roman"/>
        <family val="1"/>
      </rPr>
      <t>:  (84) 4 3668 6390,</t>
    </r>
  </si>
  <si>
    <t>No. 1</t>
  </si>
  <si>
    <t>Website: www.hbg.com.vn</t>
  </si>
  <si>
    <t xml:space="preserve"> Email: infor@hbg.com.vn</t>
  </si>
  <si>
    <t>Job No.：MEP</t>
  </si>
  <si>
    <r>
      <t xml:space="preserve">Phụ trách:
</t>
    </r>
    <r>
      <rPr>
        <b/>
        <i/>
        <sz val="11"/>
        <color indexed="30"/>
        <rFont val="Times New Roman"/>
        <family val="1"/>
      </rPr>
      <t xml:space="preserve">In charge: </t>
    </r>
    <r>
      <rPr>
        <b/>
        <sz val="11"/>
        <color indexed="30"/>
        <rFont val="Times New Roman"/>
        <family val="1"/>
      </rPr>
      <t xml:space="preserve">Mr. </t>
    </r>
  </si>
  <si>
    <t>TT</t>
  </si>
  <si>
    <r>
      <t xml:space="preserve">Hạng mục công việc
</t>
    </r>
    <r>
      <rPr>
        <b/>
        <i/>
        <sz val="10"/>
        <color indexed="56"/>
        <rFont val="Times New Roman"/>
        <family val="1"/>
      </rPr>
      <t>Work Items</t>
    </r>
  </si>
  <si>
    <r>
      <t xml:space="preserve">Các vấn đề vướng mắc
</t>
    </r>
    <r>
      <rPr>
        <b/>
        <i/>
        <sz val="10"/>
        <color indexed="56"/>
        <rFont val="Times New Roman"/>
        <family val="1"/>
      </rPr>
      <t>Problems/Shortcomings</t>
    </r>
  </si>
  <si>
    <r>
      <t xml:space="preserve">Tiến độ thi công lắp đặt đến thời điểm hiện tại
</t>
    </r>
    <r>
      <rPr>
        <b/>
        <i/>
        <sz val="10"/>
        <color indexed="56"/>
        <rFont val="Times New Roman"/>
        <family val="1"/>
      </rPr>
      <t>Progress of installation work</t>
    </r>
  </si>
  <si>
    <r>
      <t xml:space="preserve">Các hạng mục chính
</t>
    </r>
    <r>
      <rPr>
        <b/>
        <i/>
        <sz val="10"/>
        <color indexed="56"/>
        <rFont val="Times New Roman"/>
        <family val="1"/>
      </rPr>
      <t>Main working items</t>
    </r>
  </si>
  <si>
    <r>
      <rPr>
        <b/>
        <sz val="11"/>
        <color indexed="56"/>
        <rFont val="Times New Roman"/>
        <family val="1"/>
      </rPr>
      <t>Tỉ lệ phân bổ nhân lực</t>
    </r>
    <r>
      <rPr>
        <b/>
        <sz val="9"/>
        <color indexed="56"/>
        <rFont val="Times New Roman"/>
        <family val="1"/>
      </rPr>
      <t xml:space="preserve">
</t>
    </r>
    <r>
      <rPr>
        <b/>
        <i/>
        <sz val="10"/>
        <color indexed="56"/>
        <rFont val="Times New Roman"/>
        <family val="1"/>
      </rPr>
      <t>Manpower rate</t>
    </r>
  </si>
  <si>
    <r>
      <t xml:space="preserve">Ngày bắt đầu
</t>
    </r>
    <r>
      <rPr>
        <b/>
        <i/>
        <sz val="10"/>
        <color indexed="56"/>
        <rFont val="Times New Roman"/>
        <family val="1"/>
      </rPr>
      <t>Start</t>
    </r>
  </si>
  <si>
    <r>
      <t>Ngày kết thúc</t>
    </r>
    <r>
      <rPr>
        <b/>
        <i/>
        <sz val="10"/>
        <color indexed="56"/>
        <rFont val="Times New Roman"/>
        <family val="1"/>
      </rPr>
      <t xml:space="preserve">
Finish</t>
    </r>
  </si>
  <si>
    <r>
      <rPr>
        <b/>
        <sz val="11"/>
        <color indexed="60"/>
        <rFont val="Times New Roman"/>
        <family val="1"/>
      </rPr>
      <t>Số ngày trượt tiến độ</t>
    </r>
    <r>
      <rPr>
        <b/>
        <i/>
        <sz val="11"/>
        <color indexed="60"/>
        <rFont val="Times New Roman"/>
        <family val="1"/>
      </rPr>
      <t xml:space="preserve">
Lost Day</t>
    </r>
  </si>
  <si>
    <r>
      <t xml:space="preserve">Tỉ trọng tiến độ công việc (%)
</t>
    </r>
    <r>
      <rPr>
        <b/>
        <i/>
        <sz val="11"/>
        <color indexed="56"/>
        <rFont val="Times New Roman"/>
        <family val="1"/>
      </rPr>
      <t xml:space="preserve">Progress rate  (%)   </t>
    </r>
  </si>
  <si>
    <t>Ghi chú
Remark</t>
  </si>
  <si>
    <t>ELECTRICAL</t>
  </si>
  <si>
    <t>-</t>
  </si>
  <si>
    <t>MECHANICAL</t>
  </si>
  <si>
    <t>Total　（％）</t>
  </si>
  <si>
    <t>I</t>
  </si>
  <si>
    <t xml:space="preserve">Hệ thống </t>
  </si>
  <si>
    <t>Nội dung</t>
  </si>
  <si>
    <t>KHO VÀ VĂN PHÒNG</t>
  </si>
  <si>
    <t>Ban quản lý và cán bộ kỹ thuật</t>
  </si>
  <si>
    <r>
      <t>Tổng cộng</t>
    </r>
    <r>
      <rPr>
        <i/>
        <sz val="11"/>
        <color indexed="56"/>
        <rFont val="Times New Roman"/>
        <family val="1"/>
      </rPr>
      <t>/Total</t>
    </r>
    <r>
      <rPr>
        <b/>
        <sz val="11"/>
        <color indexed="56"/>
        <rFont val="Times New Roman"/>
        <family val="1"/>
      </rPr>
      <t xml:space="preserve"> (%)</t>
    </r>
  </si>
  <si>
    <r>
      <t xml:space="preserve">Phần an toàn
</t>
    </r>
    <r>
      <rPr>
        <b/>
        <i/>
        <sz val="12"/>
        <color indexed="56"/>
        <rFont val="Times New Roman"/>
        <family val="1"/>
      </rPr>
      <t>Safety/Environmental Issue</t>
    </r>
  </si>
  <si>
    <r>
      <t xml:space="preserve">Các thông tin khác
</t>
    </r>
    <r>
      <rPr>
        <b/>
        <i/>
        <sz val="12"/>
        <color indexed="56"/>
        <rFont val="Times New Roman"/>
        <family val="1"/>
      </rPr>
      <t>Other Information</t>
    </r>
  </si>
  <si>
    <r>
      <t xml:space="preserve">Tình trạng vật tư có trên công trường
</t>
    </r>
    <r>
      <rPr>
        <b/>
        <i/>
        <sz val="12"/>
        <color indexed="56"/>
        <rFont val="Times New Roman"/>
        <family val="1"/>
      </rPr>
      <t>Status of Materials &amp; Supplies on Site</t>
    </r>
  </si>
  <si>
    <r>
      <t xml:space="preserve">Tên vật tư thiết bị
</t>
    </r>
    <r>
      <rPr>
        <b/>
        <i/>
        <sz val="10"/>
        <color indexed="56"/>
        <rFont val="Times New Roman"/>
        <family val="1"/>
      </rPr>
      <t>Equipment/Materials</t>
    </r>
  </si>
  <si>
    <r>
      <t xml:space="preserve">Bắt đầu
</t>
    </r>
    <r>
      <rPr>
        <b/>
        <i/>
        <sz val="10"/>
        <color indexed="56"/>
        <rFont val="Times New Roman"/>
        <family val="1"/>
      </rPr>
      <t>Start</t>
    </r>
  </si>
  <si>
    <r>
      <t>Kết thúc</t>
    </r>
    <r>
      <rPr>
        <b/>
        <i/>
        <sz val="10"/>
        <color indexed="56"/>
        <rFont val="Times New Roman"/>
        <family val="1"/>
      </rPr>
      <t xml:space="preserve">
Finish</t>
    </r>
  </si>
  <si>
    <r>
      <rPr>
        <b/>
        <sz val="10"/>
        <color indexed="60"/>
        <rFont val="Times New Roman"/>
        <family val="1"/>
      </rPr>
      <t>Số ngày trượt tiến độ</t>
    </r>
    <r>
      <rPr>
        <b/>
        <i/>
        <sz val="10"/>
        <color indexed="60"/>
        <rFont val="Times New Roman"/>
        <family val="1"/>
      </rPr>
      <t xml:space="preserve">
Lost Day</t>
    </r>
  </si>
  <si>
    <r>
      <rPr>
        <b/>
        <sz val="10"/>
        <color indexed="56"/>
        <rFont val="Times New Roman"/>
        <family val="1"/>
      </rPr>
      <t xml:space="preserve">Tỉ trọng tiến độ công việc (%)
</t>
    </r>
    <r>
      <rPr>
        <b/>
        <i/>
        <sz val="10"/>
        <color indexed="56"/>
        <rFont val="Times New Roman"/>
        <family val="1"/>
      </rPr>
      <t xml:space="preserve">Progress rate  (%)   </t>
    </r>
  </si>
  <si>
    <t>Ống conduit điện</t>
  </si>
  <si>
    <r>
      <t>Tổng cộng/</t>
    </r>
    <r>
      <rPr>
        <i/>
        <sz val="11"/>
        <color indexed="56"/>
        <rFont val="Times New Roman"/>
        <family val="1"/>
      </rPr>
      <t>Total</t>
    </r>
    <r>
      <rPr>
        <b/>
        <sz val="11"/>
        <color indexed="56"/>
        <rFont val="Times New Roman"/>
        <family val="1"/>
      </rPr>
      <t xml:space="preserve"> (%)</t>
    </r>
  </si>
  <si>
    <r>
      <t xml:space="preserve">Nghiệm thu &amp; bàn giao vật tư thiết bị về công trường so với yêu cầu của BCH dự án
</t>
    </r>
    <r>
      <rPr>
        <b/>
        <i/>
        <sz val="12"/>
        <color indexed="56"/>
        <rFont val="Times New Roman"/>
        <family val="1"/>
      </rPr>
      <t>Delivery/Installation Inspection Progress</t>
    </r>
  </si>
  <si>
    <r>
      <t xml:space="preserve">Nghiệm thu vật tư thiết bị
</t>
    </r>
    <r>
      <rPr>
        <b/>
        <i/>
        <sz val="11"/>
        <color indexed="56"/>
        <rFont val="Times New Roman"/>
        <family val="1"/>
      </rPr>
      <t>Acceptance of materials &amp; equipments</t>
    </r>
  </si>
  <si>
    <r>
      <t xml:space="preserve">Tình trạng
</t>
    </r>
    <r>
      <rPr>
        <b/>
        <i/>
        <sz val="11"/>
        <color indexed="56"/>
        <rFont val="Times New Roman"/>
        <family val="1"/>
      </rPr>
      <t>Status</t>
    </r>
  </si>
  <si>
    <r>
      <t xml:space="preserve">Nghiệm thu lắp đặt thiết bị
</t>
    </r>
    <r>
      <rPr>
        <b/>
        <i/>
        <sz val="11"/>
        <color indexed="56"/>
        <rFont val="Times New Roman"/>
        <family val="1"/>
      </rPr>
      <t>Acceptance of equipment istallation</t>
    </r>
  </si>
  <si>
    <r>
      <t xml:space="preserve">Nhân lực
</t>
    </r>
    <r>
      <rPr>
        <b/>
        <i/>
        <sz val="11"/>
        <color indexed="56"/>
        <rFont val="Times New Roman"/>
        <family val="1"/>
      </rPr>
      <t>Manpower</t>
    </r>
  </si>
  <si>
    <r>
      <t xml:space="preserve">Nhân lực thực tế
</t>
    </r>
    <r>
      <rPr>
        <b/>
        <i/>
        <sz val="11"/>
        <color indexed="56"/>
        <rFont val="Times New Roman"/>
        <family val="1"/>
      </rPr>
      <t>Actual manpower</t>
    </r>
  </si>
  <si>
    <r>
      <t xml:space="preserve">Lũy kế
</t>
    </r>
    <r>
      <rPr>
        <b/>
        <i/>
        <sz val="11"/>
        <color indexed="56"/>
        <rFont val="Times New Roman"/>
        <family val="1"/>
      </rPr>
      <t>Cummulative</t>
    </r>
  </si>
  <si>
    <r>
      <t xml:space="preserve">Trong ngày
</t>
    </r>
    <r>
      <rPr>
        <b/>
        <i/>
        <sz val="11"/>
        <color indexed="56"/>
        <rFont val="Times New Roman"/>
        <family val="1"/>
      </rPr>
      <t>Today</t>
    </r>
  </si>
  <si>
    <r>
      <t xml:space="preserve">Cộng
</t>
    </r>
    <r>
      <rPr>
        <b/>
        <i/>
        <sz val="11"/>
        <color indexed="56"/>
        <rFont val="Times New Roman"/>
        <family val="1"/>
      </rPr>
      <t>Consum</t>
    </r>
  </si>
  <si>
    <r>
      <t xml:space="preserve">Quản lý dự án </t>
    </r>
    <r>
      <rPr>
        <b/>
        <i/>
        <sz val="11"/>
        <color indexed="56"/>
        <rFont val="Times New Roman"/>
        <family val="1"/>
      </rPr>
      <t>(Project Manager)</t>
    </r>
  </si>
  <si>
    <r>
      <t xml:space="preserve">Chỉ Huy trưởng/Phó CHT </t>
    </r>
    <r>
      <rPr>
        <i/>
        <sz val="11"/>
        <color indexed="56"/>
        <rFont val="Times New Roman"/>
        <family val="1"/>
      </rPr>
      <t>(Site Manager)</t>
    </r>
  </si>
  <si>
    <r>
      <t xml:space="preserve">KS điện </t>
    </r>
    <r>
      <rPr>
        <i/>
        <sz val="11"/>
        <color indexed="56"/>
        <rFont val="Times New Roman"/>
        <family val="1"/>
      </rPr>
      <t>(Electrical Engineer)</t>
    </r>
  </si>
  <si>
    <r>
      <t xml:space="preserve">KS cấp thoát nước </t>
    </r>
    <r>
      <rPr>
        <i/>
        <sz val="11"/>
        <color indexed="56"/>
        <rFont val="Times New Roman"/>
        <family val="1"/>
      </rPr>
      <t xml:space="preserve">(Water supply &amp; drainage engineer) </t>
    </r>
  </si>
  <si>
    <r>
      <t xml:space="preserve">KS điều hòa </t>
    </r>
    <r>
      <rPr>
        <i/>
        <sz val="11"/>
        <color indexed="56"/>
        <rFont val="Times New Roman"/>
        <family val="1"/>
      </rPr>
      <t xml:space="preserve">(HVAC engineer) </t>
    </r>
  </si>
  <si>
    <t>Kỹ sư QS</t>
  </si>
  <si>
    <t>Ks khác</t>
  </si>
  <si>
    <t>Thư ký dự án (nếu có)</t>
  </si>
  <si>
    <r>
      <t xml:space="preserve">Giám sát ATLĐ </t>
    </r>
    <r>
      <rPr>
        <i/>
        <sz val="11"/>
        <color indexed="56"/>
        <rFont val="Times New Roman"/>
        <family val="1"/>
      </rPr>
      <t>(Safety Officer)</t>
    </r>
  </si>
  <si>
    <r>
      <t xml:space="preserve">Đốc công </t>
    </r>
    <r>
      <rPr>
        <i/>
        <sz val="11"/>
        <color indexed="56"/>
        <rFont val="Times New Roman"/>
        <family val="1"/>
      </rPr>
      <t>(Foreman)</t>
    </r>
  </si>
  <si>
    <r>
      <t xml:space="preserve">Thợ nước </t>
    </r>
    <r>
      <rPr>
        <i/>
        <sz val="11"/>
        <color indexed="56"/>
        <rFont val="Times New Roman"/>
        <family val="1"/>
      </rPr>
      <t>(Plumber)</t>
    </r>
  </si>
  <si>
    <r>
      <t xml:space="preserve">Thợ hàn </t>
    </r>
    <r>
      <rPr>
        <i/>
        <sz val="11"/>
        <color indexed="56"/>
        <rFont val="Times New Roman"/>
        <family val="1"/>
      </rPr>
      <t>(Welder)</t>
    </r>
  </si>
  <si>
    <r>
      <t xml:space="preserve">Thợ điện </t>
    </r>
    <r>
      <rPr>
        <i/>
        <sz val="11"/>
        <color indexed="56"/>
        <rFont val="Times New Roman"/>
        <family val="1"/>
      </rPr>
      <t>(Electrician)</t>
    </r>
  </si>
  <si>
    <r>
      <t xml:space="preserve">Thợ phụ </t>
    </r>
    <r>
      <rPr>
        <i/>
        <sz val="11"/>
        <color indexed="56"/>
        <rFont val="Times New Roman"/>
        <family val="1"/>
      </rPr>
      <t>(Help)</t>
    </r>
  </si>
  <si>
    <r>
      <t xml:space="preserve">Công nhân trực tiếp khác </t>
    </r>
    <r>
      <rPr>
        <b/>
        <i/>
        <sz val="11"/>
        <color indexed="56"/>
        <rFont val="Times New Roman"/>
        <family val="1"/>
      </rPr>
      <t>(Other)</t>
    </r>
  </si>
  <si>
    <t>Thủ kho và lái xe</t>
  </si>
  <si>
    <t>Công nhật:</t>
  </si>
  <si>
    <t>Nhân công của các đội thuê khoán:</t>
  </si>
  <si>
    <r>
      <t>Tổng cộng/</t>
    </r>
    <r>
      <rPr>
        <i/>
        <sz val="11"/>
        <color indexed="56"/>
        <rFont val="Times New Roman"/>
        <family val="1"/>
      </rPr>
      <t>Total　      (%)</t>
    </r>
  </si>
  <si>
    <t>II. KIẾN NGHỊ CỦA CÁC HỆ (CB KỸ THUẬT)</t>
  </si>
  <si>
    <t xml:space="preserve"> </t>
  </si>
  <si>
    <t>Đ.D BCH/CT</t>
  </si>
  <si>
    <t>Ống cấp thoát nước</t>
  </si>
  <si>
    <t xml:space="preserve">cọc tiếp địa </t>
  </si>
  <si>
    <t xml:space="preserve">cáp chống sét </t>
  </si>
  <si>
    <t>Tầng hầm C20</t>
  </si>
  <si>
    <t xml:space="preserve">Thư ký </t>
  </si>
  <si>
    <t xml:space="preserve">Thi công hệ thống kho bãi </t>
  </si>
  <si>
    <t>San lấp mặt bằng và đường đi lại</t>
  </si>
  <si>
    <t xml:space="preserve">Xây dựng kho bãi </t>
  </si>
  <si>
    <t>Lắp đặt sleeve cho hệ thống cấp thoát nước tầng hầm</t>
  </si>
  <si>
    <t>Chưa có nhân công</t>
  </si>
  <si>
    <r>
      <t>Dự án/</t>
    </r>
    <r>
      <rPr>
        <i/>
        <sz val="14"/>
        <color indexed="30"/>
        <rFont val="Times New Roman"/>
        <family val="1"/>
      </rPr>
      <t>Project</t>
    </r>
    <r>
      <rPr>
        <sz val="14"/>
        <color indexed="30"/>
        <rFont val="Times New Roman"/>
        <family val="1"/>
      </rPr>
      <t>: LAWRENCE STING SCHOOL 2</t>
    </r>
  </si>
  <si>
    <r>
      <t xml:space="preserve">Ngày </t>
    </r>
    <r>
      <rPr>
        <b/>
        <i/>
        <sz val="12"/>
        <rFont val="Times New Roman"/>
        <family val="1"/>
      </rPr>
      <t>(Date)</t>
    </r>
    <r>
      <rPr>
        <b/>
        <sz val="12"/>
        <rFont val="Times New Roman"/>
        <family val="1"/>
      </rPr>
      <t>:22/05/2021</t>
    </r>
  </si>
  <si>
    <r>
      <t xml:space="preserve">Chỉ huy trưởng
</t>
    </r>
    <r>
      <rPr>
        <b/>
        <i/>
        <sz val="11"/>
        <color indexed="30"/>
        <rFont val="Times New Roman"/>
        <family val="1"/>
      </rPr>
      <t>SM</t>
    </r>
  </si>
  <si>
    <t>Buổi chiều thời tiết mưa. Không thi công được</t>
  </si>
  <si>
    <r>
      <t xml:space="preserve">Ngày </t>
    </r>
    <r>
      <rPr>
        <b/>
        <i/>
        <sz val="12"/>
        <rFont val="Times New Roman"/>
        <family val="1"/>
      </rPr>
      <t>(Date)</t>
    </r>
    <r>
      <rPr>
        <b/>
        <sz val="12"/>
        <rFont val="Times New Roman"/>
        <family val="1"/>
      </rPr>
      <t>:23/05/2021</t>
    </r>
  </si>
  <si>
    <t>Nguyễn Văn Định</t>
  </si>
  <si>
    <r>
      <t xml:space="preserve">Kế hoạch nhân lực HBG tại dự án Lawrence Sting School 2 
</t>
    </r>
    <r>
      <rPr>
        <b/>
        <i/>
        <sz val="12"/>
        <color indexed="56"/>
        <rFont val="Times New Roman"/>
        <family val="1"/>
      </rPr>
      <t>Manpower Schedule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</si>
</sst>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-* #,##0.00\ _₫_-;\-* #,##0.00\ _₫_-;_-* &quot;-&quot;??\ _₫_-;_-@_-"/>
    <numFmt numFmtId="165" formatCode="dd\ mmmm\ yyyy"/>
    <numFmt numFmtId="166" formatCode="_-* #,##0\ _₫_-;\-* #,##0\ _₫_-;_-* &quot;-&quot;\ _₫_-;_-@_-"/>
    <numFmt numFmtId="167" formatCode="&quot;No.&quot;\ ##"/>
    <numFmt numFmtId="168" formatCode="0_ &quot;Days&quot;"/>
    <numFmt numFmtId="169" formatCode="#,##0.0;[Red]\-#,##0.0"/>
    <numFmt numFmtId="170" formatCode="0_ "/>
    <numFmt numFmtId="171" formatCode="#,##0.0;[Red]#,##0.0"/>
    <numFmt numFmtId="172" formatCode="0\ %"/>
    <numFmt numFmtId="173" formatCode="0_);[Red]\(0\)"/>
    <numFmt numFmtId="174" formatCode="#,##0.0\ _₫;[Red]\-#,##0.0\ _₫"/>
    <numFmt numFmtId="175" formatCode="#,##0.0_);[Red]\(#,##0.0\)"/>
  </numFmts>
  <fonts count="75">
    <font>
      <sz val="10"/>
      <name val="Arial"/>
      <family val="2"/>
    </font>
    <font>
      <sz val="10"/>
      <name val="Arial"/>
      <family val="2"/>
    </font>
    <font>
      <sz val="11"/>
      <color rgb="FF0070C0"/>
      <name val="Times New Roman"/>
      <family val="1"/>
    </font>
    <font>
      <sz val="9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i/>
      <sz val="11"/>
      <color indexed="30"/>
      <name val="Times New Roman"/>
      <family val="1"/>
    </font>
    <font>
      <b/>
      <u/>
      <sz val="20"/>
      <color rgb="FF0070C0"/>
      <name val="Times New Roman"/>
      <family val="1"/>
    </font>
    <font>
      <i/>
      <sz val="14"/>
      <color rgb="FF0070C0"/>
      <name val="Times New Roman"/>
      <family val="1"/>
    </font>
    <font>
      <b/>
      <u/>
      <sz val="12"/>
      <color rgb="FF0070C0"/>
      <name val="Times New Roman"/>
      <family val="1"/>
    </font>
    <font>
      <b/>
      <u/>
      <sz val="16"/>
      <color rgb="FF0070C0"/>
      <name val="Times New Roman"/>
      <family val="1"/>
    </font>
    <font>
      <b/>
      <sz val="18"/>
      <color rgb="FF0070C0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2"/>
      <color rgb="FF0070C0"/>
      <name val="Times New Roman"/>
      <family val="1"/>
    </font>
    <font>
      <i/>
      <sz val="12"/>
      <color indexed="30"/>
      <name val="Times New Roman"/>
      <family val="1"/>
    </font>
    <font>
      <sz val="12"/>
      <color indexed="30"/>
      <name val="Times New Roman"/>
      <family val="1"/>
    </font>
    <font>
      <sz val="14"/>
      <color rgb="FF0070C0"/>
      <name val="Times New Roman"/>
      <family val="1"/>
    </font>
    <font>
      <i/>
      <sz val="14"/>
      <color indexed="30"/>
      <name val="Times New Roman"/>
      <family val="1"/>
    </font>
    <font>
      <sz val="14"/>
      <color indexed="30"/>
      <name val="Times New Roman"/>
      <family val="1"/>
    </font>
    <font>
      <b/>
      <sz val="14"/>
      <color indexed="30"/>
      <name val="Times New Roman"/>
      <family val="1"/>
    </font>
    <font>
      <sz val="8"/>
      <color rgb="FF0070C0"/>
      <name val="Times New Roman"/>
      <family val="1"/>
    </font>
    <font>
      <u/>
      <sz val="11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1"/>
      <color indexed="30"/>
      <name val="Times New Roman"/>
      <family val="1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i/>
      <sz val="10"/>
      <color indexed="56"/>
      <name val="Times New Roman"/>
      <family val="1"/>
    </font>
    <font>
      <b/>
      <sz val="12"/>
      <color rgb="FFC00000"/>
      <name val="Times New Roman"/>
      <family val="1"/>
    </font>
    <font>
      <b/>
      <sz val="9"/>
      <color theme="3" tint="-0.499984740745262"/>
      <name val="Times New Roman"/>
      <family val="1"/>
    </font>
    <font>
      <b/>
      <sz val="11"/>
      <color indexed="56"/>
      <name val="Times New Roman"/>
      <family val="1"/>
    </font>
    <font>
      <b/>
      <sz val="9"/>
      <color indexed="56"/>
      <name val="Times New Roman"/>
      <family val="1"/>
    </font>
    <font>
      <b/>
      <i/>
      <sz val="11"/>
      <color rgb="FFC00000"/>
      <name val="Times New Roman"/>
      <family val="1"/>
    </font>
    <font>
      <b/>
      <sz val="11"/>
      <color indexed="60"/>
      <name val="Times New Roman"/>
      <family val="1"/>
    </font>
    <font>
      <b/>
      <i/>
      <sz val="11"/>
      <color indexed="60"/>
      <name val="Times New Roman"/>
      <family val="1"/>
    </font>
    <font>
      <b/>
      <i/>
      <sz val="11"/>
      <color indexed="56"/>
      <name val="Times New Roman"/>
      <family val="1"/>
    </font>
    <font>
      <b/>
      <sz val="11"/>
      <color rgb="FFC00000"/>
      <name val="Times New Roman"/>
      <family val="1"/>
    </font>
    <font>
      <sz val="9"/>
      <color theme="3" tint="-0.499984740745262"/>
      <name val="Times New Roman"/>
      <family val="1"/>
    </font>
    <font>
      <sz val="8"/>
      <color theme="3" tint="-0.499984740745262"/>
      <name val="Times New Roman"/>
      <family val="1"/>
    </font>
    <font>
      <sz val="10"/>
      <color theme="3" tint="-0.499984740745262"/>
      <name val="Times New Roman"/>
      <family val="1"/>
    </font>
    <font>
      <b/>
      <sz val="30"/>
      <color theme="3" tint="-0.499984740745262"/>
      <name val="Times New Roman"/>
      <family val="1"/>
    </font>
    <font>
      <sz val="28"/>
      <color theme="3" tint="-0.499984740745262"/>
      <name val="Times New Roman"/>
      <family val="1"/>
    </font>
    <font>
      <b/>
      <u/>
      <sz val="9"/>
      <color theme="3" tint="-0.499984740745262"/>
      <name val="Times New Roman"/>
      <family val="1"/>
    </font>
    <font>
      <b/>
      <sz val="10"/>
      <color theme="3" tint="-0.499984740745262"/>
      <name val="Times New Roman"/>
      <family val="1"/>
    </font>
    <font>
      <b/>
      <sz val="8"/>
      <color theme="3" tint="-0.499984740745262"/>
      <name val="Times New Roman"/>
      <family val="1"/>
    </font>
    <font>
      <sz val="10"/>
      <name val="MS Sans Serif"/>
      <family val="2"/>
    </font>
    <font>
      <b/>
      <sz val="12"/>
      <color theme="3" tint="-0.49998474074526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3" tint="-0.499984740745262"/>
      <name val="Times New Roman"/>
      <family val="1"/>
    </font>
    <font>
      <i/>
      <sz val="11"/>
      <color indexed="56"/>
      <name val="Times New Roman"/>
      <family val="1"/>
    </font>
    <font>
      <b/>
      <i/>
      <sz val="12"/>
      <color indexed="56"/>
      <name val="Times New Roman"/>
      <family val="1"/>
    </font>
    <font>
      <b/>
      <i/>
      <sz val="10"/>
      <color rgb="FFC00000"/>
      <name val="Times New Roman"/>
      <family val="1"/>
    </font>
    <font>
      <b/>
      <sz val="10"/>
      <color indexed="60"/>
      <name val="Times New Roman"/>
      <family val="1"/>
    </font>
    <font>
      <b/>
      <i/>
      <sz val="10"/>
      <color indexed="60"/>
      <name val="Times New Roman"/>
      <family val="1"/>
    </font>
    <font>
      <b/>
      <sz val="10"/>
      <color indexed="56"/>
      <name val="Times New Roman"/>
      <family val="1"/>
    </font>
    <font>
      <b/>
      <sz val="10"/>
      <color rgb="FFC00000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0"/>
      <name val="Times New Roman"/>
      <family val="1"/>
    </font>
    <font>
      <b/>
      <sz val="14"/>
      <color theme="3" tint="-0.499984740745262"/>
      <name val="Times New Roman"/>
      <family val="1"/>
    </font>
    <font>
      <b/>
      <sz val="12"/>
      <color indexed="81"/>
      <name val="ＭＳ Ｐゴシック"/>
      <charset val="163"/>
    </font>
    <font>
      <b/>
      <sz val="10"/>
      <color indexed="81"/>
      <name val="ＭＳ Ｐゴシック"/>
      <charset val="163"/>
    </font>
    <font>
      <i/>
      <sz val="10"/>
      <color indexed="81"/>
      <name val="ＭＳ Ｐゴシック"/>
      <charset val="163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12"/>
      <name val="Tahoma"/>
      <family val="2"/>
    </font>
    <font>
      <b/>
      <sz val="12"/>
      <color indexed="12"/>
      <name val="Tahoma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CC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/>
      <bottom style="dotted">
        <color rgb="FFC00000"/>
      </bottom>
      <diagonal/>
    </border>
    <border>
      <left style="dotted">
        <color rgb="FFC00000"/>
      </left>
      <right style="thin">
        <color rgb="FFC00000"/>
      </right>
      <top/>
      <bottom style="dotted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 style="dotted">
        <color rgb="FFC00000"/>
      </bottom>
      <diagonal/>
    </border>
    <border>
      <left style="dotted">
        <color rgb="FFC00000"/>
      </left>
      <right style="thin">
        <color rgb="FFC00000"/>
      </right>
      <top style="dotted">
        <color rgb="FFC00000"/>
      </top>
      <bottom style="dotted">
        <color rgb="FFC00000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C00000"/>
      </right>
      <top style="dotted">
        <color rgb="FFC00000"/>
      </top>
      <bottom/>
      <diagonal/>
    </border>
    <border>
      <left style="dotted">
        <color rgb="FFC00000"/>
      </left>
      <right style="dotted">
        <color rgb="FFC00000"/>
      </right>
      <top style="dotted">
        <color rgb="FFC00000"/>
      </top>
      <bottom/>
      <diagonal/>
    </border>
    <border>
      <left style="dotted">
        <color rgb="FFC00000"/>
      </left>
      <right style="thin">
        <color rgb="FFC00000"/>
      </right>
      <top style="dotted">
        <color rgb="FFC00000"/>
      </top>
      <bottom/>
      <diagonal/>
    </border>
    <border>
      <left style="thin">
        <color rgb="FFC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00000"/>
      </left>
      <right style="dotted">
        <color rgb="FFC00000"/>
      </right>
      <top/>
      <bottom style="hair">
        <color indexed="64"/>
      </bottom>
      <diagonal/>
    </border>
    <border>
      <left style="dotted">
        <color rgb="FFC00000"/>
      </left>
      <right style="dotted">
        <color rgb="FFC00000"/>
      </right>
      <top/>
      <bottom style="hair">
        <color indexed="64"/>
      </bottom>
      <diagonal/>
    </border>
    <border>
      <left style="dotted">
        <color rgb="FFC00000"/>
      </left>
      <right style="thin">
        <color rgb="FFC00000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C00000"/>
      </left>
      <right style="dotted">
        <color rgb="FFC00000"/>
      </right>
      <top style="hair">
        <color indexed="64"/>
      </top>
      <bottom style="hair">
        <color indexed="64"/>
      </bottom>
      <diagonal/>
    </border>
    <border>
      <left style="dotted">
        <color rgb="FFC00000"/>
      </left>
      <right style="dotted">
        <color rgb="FFC00000"/>
      </right>
      <top style="hair">
        <color indexed="64"/>
      </top>
      <bottom style="hair">
        <color indexed="64"/>
      </bottom>
      <diagonal/>
    </border>
    <border>
      <left style="dotted">
        <color rgb="FFC00000"/>
      </left>
      <right style="thin">
        <color rgb="FFC00000"/>
      </right>
      <top style="hair">
        <color indexed="64"/>
      </top>
      <bottom style="hair">
        <color indexed="64"/>
      </bottom>
      <diagonal/>
    </border>
    <border>
      <left style="thin">
        <color rgb="FFC00000"/>
      </left>
      <right style="dotted">
        <color rgb="FFC00000"/>
      </right>
      <top style="hair">
        <color indexed="64"/>
      </top>
      <bottom/>
      <diagonal/>
    </border>
    <border>
      <left style="dotted">
        <color rgb="FFC00000"/>
      </left>
      <right style="dotted">
        <color rgb="FFC00000"/>
      </right>
      <top style="hair">
        <color indexed="64"/>
      </top>
      <bottom/>
      <diagonal/>
    </border>
    <border>
      <left style="dotted">
        <color rgb="FFC00000"/>
      </left>
      <right style="thin">
        <color rgb="FFC00000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/>
  </cellStyleXfs>
  <cellXfs count="484">
    <xf numFmtId="0" fontId="0" fillId="0" borderId="0" xfId="0"/>
    <xf numFmtId="0" fontId="2" fillId="0" borderId="0" xfId="0" applyFont="1" applyAlignment="1" applyProtection="1">
      <alignment vertical="center"/>
    </xf>
    <xf numFmtId="14" fontId="3" fillId="0" borderId="0" xfId="0" applyNumberFormat="1" applyFont="1" applyAlignment="1" applyProtection="1">
      <alignment vertical="center"/>
    </xf>
    <xf numFmtId="0" fontId="4" fillId="0" borderId="0" xfId="1" applyNumberFormat="1" applyFont="1" applyAlignment="1" applyProtection="1">
      <alignment vertical="center" wrapText="1"/>
    </xf>
    <xf numFmtId="0" fontId="2" fillId="2" borderId="0" xfId="0" applyFont="1" applyFill="1" applyAlignment="1" applyProtection="1">
      <alignment horizontal="center" vertical="center"/>
    </xf>
    <xf numFmtId="0" fontId="7" fillId="0" borderId="0" xfId="0" applyFont="1" applyAlignment="1" applyProtection="1">
      <alignment horizontal="centerContinuous" vertical="center" shrinkToFit="1"/>
    </xf>
    <xf numFmtId="0" fontId="2" fillId="0" borderId="0" xfId="0" applyFont="1" applyAlignment="1" applyProtection="1">
      <alignment horizontal="centerContinuous" vertical="center"/>
    </xf>
    <xf numFmtId="14" fontId="3" fillId="0" borderId="0" xfId="0" applyNumberFormat="1" applyFont="1" applyAlignment="1" applyProtection="1">
      <alignment horizontal="centerContinuous" vertical="center"/>
    </xf>
    <xf numFmtId="0" fontId="4" fillId="0" borderId="0" xfId="1" applyNumberFormat="1" applyFont="1" applyAlignment="1" applyProtection="1">
      <alignment horizontal="centerContinuous" vertical="center" wrapText="1"/>
    </xf>
    <xf numFmtId="0" fontId="5" fillId="0" borderId="5" xfId="0" applyFont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Continuous" vertical="center" shrinkToFit="1"/>
    </xf>
    <xf numFmtId="14" fontId="7" fillId="0" borderId="0" xfId="0" applyNumberFormat="1" applyFont="1" applyAlignment="1" applyProtection="1">
      <alignment horizontal="centerContinuous" vertical="center" shrinkToFit="1"/>
    </xf>
    <xf numFmtId="0" fontId="9" fillId="0" borderId="0" xfId="1" applyNumberFormat="1" applyFont="1" applyAlignment="1" applyProtection="1">
      <alignment horizontal="centerContinuous" vertical="center" wrapText="1" shrinkToFit="1"/>
    </xf>
    <xf numFmtId="0" fontId="7" fillId="0" borderId="8" xfId="0" applyFont="1" applyBorder="1" applyAlignment="1" applyProtection="1">
      <alignment horizontal="centerContinuous" vertical="center" shrinkToFit="1"/>
    </xf>
    <xf numFmtId="0" fontId="10" fillId="0" borderId="0" xfId="0" applyFont="1" applyAlignment="1" applyProtection="1">
      <alignment vertical="center" shrinkToFit="1"/>
    </xf>
    <xf numFmtId="0" fontId="11" fillId="0" borderId="0" xfId="0" applyFont="1" applyAlignment="1" applyProtection="1">
      <alignment vertical="center"/>
    </xf>
    <xf numFmtId="0" fontId="2" fillId="0" borderId="8" xfId="0" applyFont="1" applyBorder="1" applyAlignment="1" applyProtection="1">
      <alignment vertical="center"/>
    </xf>
    <xf numFmtId="0" fontId="17" fillId="0" borderId="0" xfId="0" applyFont="1" applyAlignment="1" applyProtection="1">
      <alignment vertical="center"/>
    </xf>
    <xf numFmtId="0" fontId="17" fillId="0" borderId="0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vertical="center"/>
    </xf>
    <xf numFmtId="14" fontId="3" fillId="0" borderId="0" xfId="0" applyNumberFormat="1" applyFont="1" applyBorder="1" applyAlignment="1" applyProtection="1">
      <alignment vertical="center"/>
      <protection locked="0"/>
    </xf>
    <xf numFmtId="0" fontId="4" fillId="0" borderId="0" xfId="1" applyNumberFormat="1" applyFont="1" applyBorder="1" applyAlignment="1" applyProtection="1">
      <alignment vertical="center" wrapText="1"/>
      <protection locked="0"/>
    </xf>
    <xf numFmtId="165" fontId="4" fillId="0" borderId="0" xfId="0" applyNumberFormat="1" applyFont="1" applyBorder="1" applyAlignment="1" applyProtection="1">
      <alignment horizontal="center" vertical="center"/>
      <protection locked="0"/>
    </xf>
    <xf numFmtId="167" fontId="14" fillId="0" borderId="0" xfId="2" applyNumberFormat="1" applyFont="1" applyFill="1" applyBorder="1" applyAlignment="1" applyProtection="1">
      <alignment vertical="center"/>
      <protection locked="0"/>
    </xf>
    <xf numFmtId="165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</xf>
    <xf numFmtId="167" fontId="2" fillId="0" borderId="0" xfId="2" applyNumberFormat="1" applyFont="1" applyFill="1" applyBorder="1" applyAlignment="1" applyProtection="1">
      <alignment vertical="center"/>
      <protection locked="0"/>
    </xf>
    <xf numFmtId="16" fontId="4" fillId="0" borderId="0" xfId="0" applyNumberFormat="1" applyFont="1" applyBorder="1" applyAlignment="1" applyProtection="1">
      <alignment vertical="center"/>
    </xf>
    <xf numFmtId="15" fontId="2" fillId="0" borderId="0" xfId="0" applyNumberFormat="1" applyFont="1" applyBorder="1" applyAlignment="1" applyProtection="1">
      <alignment vertical="center"/>
      <protection locked="0"/>
    </xf>
    <xf numFmtId="168" fontId="2" fillId="0" borderId="0" xfId="0" applyNumberFormat="1" applyFont="1" applyBorder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</xf>
    <xf numFmtId="9" fontId="2" fillId="0" borderId="0" xfId="3" applyFont="1" applyAlignment="1" applyProtection="1">
      <alignment horizontal="center" vertical="center"/>
    </xf>
    <xf numFmtId="167" fontId="22" fillId="0" borderId="0" xfId="2" applyNumberFormat="1" applyFont="1" applyFill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</xf>
    <xf numFmtId="0" fontId="14" fillId="3" borderId="11" xfId="0" applyFont="1" applyFill="1" applyBorder="1" applyAlignment="1" applyProtection="1">
      <alignment vertical="center"/>
    </xf>
    <xf numFmtId="16" fontId="4" fillId="3" borderId="11" xfId="0" applyNumberFormat="1" applyFont="1" applyFill="1" applyBorder="1" applyAlignment="1" applyProtection="1">
      <alignment vertical="center"/>
    </xf>
    <xf numFmtId="14" fontId="23" fillId="0" borderId="11" xfId="0" applyNumberFormat="1" applyFont="1" applyBorder="1" applyAlignment="1" applyProtection="1">
      <alignment vertical="center"/>
    </xf>
    <xf numFmtId="0" fontId="4" fillId="0" borderId="11" xfId="1" applyNumberFormat="1" applyFont="1" applyBorder="1" applyAlignment="1" applyProtection="1">
      <alignment vertical="center" wrapText="1"/>
    </xf>
    <xf numFmtId="16" fontId="4" fillId="0" borderId="11" xfId="0" applyNumberFormat="1" applyFont="1" applyBorder="1" applyAlignment="1" applyProtection="1">
      <alignment vertical="center"/>
    </xf>
    <xf numFmtId="0" fontId="2" fillId="0" borderId="6" xfId="0" applyFont="1" applyBorder="1" applyAlignment="1" applyProtection="1">
      <alignment vertical="center"/>
    </xf>
    <xf numFmtId="0" fontId="26" fillId="5" borderId="1" xfId="0" applyFont="1" applyFill="1" applyBorder="1" applyAlignment="1" applyProtection="1">
      <alignment horizontal="centerContinuous" vertical="center" wrapText="1"/>
    </xf>
    <xf numFmtId="0" fontId="28" fillId="5" borderId="1" xfId="1" applyNumberFormat="1" applyFont="1" applyFill="1" applyBorder="1" applyAlignment="1" applyProtection="1">
      <alignment horizontal="centerContinuous" vertical="center" wrapText="1"/>
    </xf>
    <xf numFmtId="0" fontId="26" fillId="5" borderId="13" xfId="0" applyFont="1" applyFill="1" applyBorder="1" applyAlignment="1" applyProtection="1">
      <alignment horizontal="centerContinuous" vertical="center" wrapText="1"/>
    </xf>
    <xf numFmtId="0" fontId="25" fillId="0" borderId="7" xfId="0" applyFont="1" applyBorder="1" applyAlignment="1" applyProtection="1">
      <alignment vertical="center"/>
    </xf>
    <xf numFmtId="0" fontId="25" fillId="2" borderId="0" xfId="0" applyFont="1" applyFill="1" applyAlignment="1" applyProtection="1">
      <alignment horizontal="center" vertical="center"/>
    </xf>
    <xf numFmtId="0" fontId="25" fillId="0" borderId="0" xfId="0" applyFont="1" applyAlignment="1" applyProtection="1">
      <alignment vertical="center"/>
    </xf>
    <xf numFmtId="0" fontId="25" fillId="0" borderId="8" xfId="0" applyFont="1" applyBorder="1" applyAlignment="1" applyProtection="1">
      <alignment vertical="center"/>
    </xf>
    <xf numFmtId="0" fontId="29" fillId="0" borderId="1" xfId="0" applyFont="1" applyBorder="1" applyAlignment="1" applyProtection="1">
      <alignment vertical="center"/>
    </xf>
    <xf numFmtId="0" fontId="26" fillId="2" borderId="0" xfId="0" applyFont="1" applyFill="1" applyAlignment="1" applyProtection="1">
      <alignment horizontal="center" vertical="center"/>
    </xf>
    <xf numFmtId="0" fontId="37" fillId="0" borderId="22" xfId="0" applyFont="1" applyFill="1" applyBorder="1" applyAlignment="1" applyProtection="1">
      <alignment horizontal="center" vertical="center"/>
      <protection locked="0"/>
    </xf>
    <xf numFmtId="0" fontId="37" fillId="0" borderId="23" xfId="0" applyFont="1" applyFill="1" applyBorder="1" applyAlignment="1" applyProtection="1">
      <alignment horizontal="left" vertical="center" indent="1"/>
      <protection locked="0"/>
    </xf>
    <xf numFmtId="0" fontId="37" fillId="0" borderId="23" xfId="0" applyFont="1" applyFill="1" applyBorder="1" applyAlignment="1" applyProtection="1">
      <alignment vertical="center"/>
      <protection locked="0"/>
    </xf>
    <xf numFmtId="0" fontId="26" fillId="0" borderId="2" xfId="0" applyFont="1" applyBorder="1" applyAlignment="1" applyProtection="1">
      <alignment horizontal="center" vertical="center" wrapText="1"/>
    </xf>
    <xf numFmtId="0" fontId="26" fillId="0" borderId="3" xfId="0" applyFont="1" applyBorder="1" applyAlignment="1" applyProtection="1">
      <alignment horizontal="center" vertical="center" wrapText="1"/>
    </xf>
    <xf numFmtId="0" fontId="26" fillId="0" borderId="4" xfId="0" applyFont="1" applyBorder="1" applyAlignment="1" applyProtection="1">
      <alignment horizontal="center" vertical="center" wrapText="1"/>
    </xf>
    <xf numFmtId="0" fontId="37" fillId="0" borderId="0" xfId="0" applyFont="1" applyBorder="1" applyAlignment="1" applyProtection="1">
      <alignment horizontal="center" vertical="center" wrapText="1" shrinkToFit="1"/>
    </xf>
    <xf numFmtId="14" fontId="37" fillId="0" borderId="0" xfId="0" applyNumberFormat="1" applyFont="1" applyBorder="1" applyAlignment="1" applyProtection="1">
      <alignment horizontal="center" vertical="center" wrapText="1" shrinkToFit="1"/>
    </xf>
    <xf numFmtId="0" fontId="28" fillId="0" borderId="0" xfId="1" applyNumberFormat="1" applyFont="1" applyBorder="1" applyAlignment="1" applyProtection="1">
      <alignment horizontal="center" vertical="center" wrapText="1" shrinkToFit="1"/>
    </xf>
    <xf numFmtId="0" fontId="37" fillId="0" borderId="26" xfId="0" applyFont="1" applyBorder="1" applyAlignment="1" applyProtection="1"/>
    <xf numFmtId="0" fontId="37" fillId="0" borderId="27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 vertical="center"/>
    </xf>
    <xf numFmtId="9" fontId="25" fillId="0" borderId="15" xfId="3" applyFont="1" applyBorder="1" applyAlignment="1" applyProtection="1">
      <alignment horizontal="center" vertical="center"/>
    </xf>
    <xf numFmtId="0" fontId="38" fillId="0" borderId="29" xfId="0" applyFont="1" applyBorder="1" applyAlignment="1" applyProtection="1">
      <alignment horizontal="center" vertical="center"/>
    </xf>
    <xf numFmtId="0" fontId="37" fillId="0" borderId="18" xfId="0" applyNumberFormat="1" applyFont="1" applyBorder="1" applyAlignment="1" applyProtection="1">
      <alignment horizontal="left" vertical="center"/>
      <protection locked="0"/>
    </xf>
    <xf numFmtId="0" fontId="37" fillId="0" borderId="19" xfId="0" applyNumberFormat="1" applyFont="1" applyBorder="1" applyAlignment="1" applyProtection="1">
      <alignment horizontal="left" vertical="center"/>
      <protection locked="0"/>
    </xf>
    <xf numFmtId="169" fontId="39" fillId="0" borderId="30" xfId="2" applyNumberFormat="1" applyFont="1" applyBorder="1" applyAlignment="1" applyProtection="1">
      <alignment horizontal="right" vertical="center"/>
      <protection locked="0"/>
    </xf>
    <xf numFmtId="14" fontId="37" fillId="0" borderId="31" xfId="2" applyNumberFormat="1" applyFont="1" applyBorder="1" applyAlignment="1" applyProtection="1">
      <alignment horizontal="right" vertical="center"/>
      <protection locked="0"/>
    </xf>
    <xf numFmtId="0" fontId="28" fillId="0" borderId="31" xfId="1" applyNumberFormat="1" applyFont="1" applyBorder="1" applyAlignment="1" applyProtection="1">
      <alignment horizontal="right" vertical="center" wrapText="1"/>
      <protection locked="0"/>
    </xf>
    <xf numFmtId="0" fontId="40" fillId="0" borderId="32" xfId="0" applyFont="1" applyBorder="1" applyAlignment="1" applyProtection="1">
      <alignment horizontal="center" vertical="center"/>
    </xf>
    <xf numFmtId="0" fontId="40" fillId="0" borderId="33" xfId="0" applyFont="1" applyBorder="1" applyAlignment="1" applyProtection="1">
      <alignment horizontal="center" vertical="center"/>
    </xf>
    <xf numFmtId="9" fontId="38" fillId="0" borderId="34" xfId="2" applyNumberFormat="1" applyFont="1" applyBorder="1" applyAlignment="1" applyProtection="1">
      <alignment horizontal="center" vertical="center"/>
    </xf>
    <xf numFmtId="9" fontId="39" fillId="0" borderId="35" xfId="3" applyFont="1" applyBorder="1" applyAlignment="1" applyProtection="1">
      <alignment horizontal="center" vertical="center"/>
    </xf>
    <xf numFmtId="170" fontId="25" fillId="2" borderId="7" xfId="0" applyNumberFormat="1" applyFont="1" applyFill="1" applyBorder="1" applyAlignment="1" applyProtection="1">
      <alignment horizontal="center" vertical="center"/>
      <protection locked="0"/>
    </xf>
    <xf numFmtId="9" fontId="25" fillId="0" borderId="36" xfId="0" applyNumberFormat="1" applyFont="1" applyBorder="1" applyAlignment="1" applyProtection="1">
      <alignment vertical="center"/>
    </xf>
    <xf numFmtId="0" fontId="41" fillId="0" borderId="37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169" fontId="39" fillId="0" borderId="23" xfId="2" applyNumberFormat="1" applyFont="1" applyBorder="1" applyAlignment="1" applyProtection="1">
      <alignment horizontal="right" vertical="center"/>
      <protection locked="0"/>
    </xf>
    <xf numFmtId="14" fontId="37" fillId="0" borderId="25" xfId="2" applyNumberFormat="1" applyFont="1" applyBorder="1" applyAlignment="1" applyProtection="1">
      <alignment horizontal="right" vertical="center"/>
      <protection locked="0"/>
    </xf>
    <xf numFmtId="0" fontId="28" fillId="0" borderId="25" xfId="1" applyNumberFormat="1" applyFont="1" applyBorder="1" applyAlignment="1" applyProtection="1">
      <alignment horizontal="right" vertical="center" wrapText="1"/>
      <protection locked="0"/>
    </xf>
    <xf numFmtId="170" fontId="25" fillId="2" borderId="8" xfId="0" applyNumberFormat="1" applyFont="1" applyFill="1" applyBorder="1" applyAlignment="1" applyProtection="1">
      <alignment horizontal="center" vertical="center"/>
      <protection locked="0"/>
    </xf>
    <xf numFmtId="9" fontId="25" fillId="0" borderId="38" xfId="0" applyNumberFormat="1" applyFont="1" applyBorder="1" applyAlignment="1" applyProtection="1">
      <alignment vertical="center"/>
    </xf>
    <xf numFmtId="0" fontId="41" fillId="0" borderId="39" xfId="0" applyFont="1" applyBorder="1" applyAlignment="1" applyProtection="1">
      <alignment horizontal="center" vertical="center"/>
    </xf>
    <xf numFmtId="0" fontId="37" fillId="0" borderId="25" xfId="0" applyNumberFormat="1" applyFont="1" applyBorder="1" applyAlignment="1" applyProtection="1">
      <alignment horizontal="left" vertical="center"/>
      <protection locked="0"/>
    </xf>
    <xf numFmtId="0" fontId="37" fillId="0" borderId="23" xfId="0" applyNumberFormat="1" applyFont="1" applyBorder="1" applyAlignment="1" applyProtection="1">
      <alignment horizontal="left" vertical="center"/>
      <protection locked="0"/>
    </xf>
    <xf numFmtId="0" fontId="37" fillId="0" borderId="40" xfId="0" applyFont="1" applyFill="1" applyBorder="1" applyAlignment="1" applyProtection="1">
      <alignment horizontal="center" vertical="center"/>
      <protection locked="0"/>
    </xf>
    <xf numFmtId="0" fontId="37" fillId="0" borderId="41" xfId="0" applyFont="1" applyFill="1" applyBorder="1" applyAlignment="1" applyProtection="1">
      <alignment vertical="center"/>
      <protection locked="0"/>
    </xf>
    <xf numFmtId="0" fontId="37" fillId="0" borderId="16" xfId="0" applyFont="1" applyFill="1" applyBorder="1" applyAlignment="1" applyProtection="1">
      <alignment horizontal="center" vertical="center"/>
      <protection locked="0"/>
    </xf>
    <xf numFmtId="0" fontId="37" fillId="0" borderId="19" xfId="0" applyFont="1" applyFill="1" applyBorder="1" applyAlignment="1" applyProtection="1">
      <alignment vertical="center"/>
      <protection locked="0"/>
    </xf>
    <xf numFmtId="0" fontId="37" fillId="0" borderId="42" xfId="0" applyNumberFormat="1" applyFont="1" applyBorder="1" applyAlignment="1" applyProtection="1">
      <alignment horizontal="left" vertical="center"/>
      <protection locked="0"/>
    </xf>
    <xf numFmtId="0" fontId="37" fillId="0" borderId="41" xfId="0" applyNumberFormat="1" applyFont="1" applyBorder="1" applyAlignment="1" applyProtection="1">
      <alignment horizontal="left" vertical="center"/>
      <protection locked="0"/>
    </xf>
    <xf numFmtId="0" fontId="38" fillId="0" borderId="40" xfId="0" applyFont="1" applyBorder="1" applyAlignment="1" applyProtection="1">
      <alignment horizontal="center" vertical="center"/>
    </xf>
    <xf numFmtId="169" fontId="39" fillId="0" borderId="43" xfId="2" applyNumberFormat="1" applyFont="1" applyBorder="1" applyAlignment="1" applyProtection="1">
      <alignment horizontal="right" vertical="center"/>
      <protection locked="0"/>
    </xf>
    <xf numFmtId="14" fontId="37" fillId="0" borderId="42" xfId="2" applyNumberFormat="1" applyFont="1" applyBorder="1" applyAlignment="1" applyProtection="1">
      <alignment horizontal="right" vertical="center"/>
      <protection locked="0"/>
    </xf>
    <xf numFmtId="0" fontId="28" fillId="0" borderId="42" xfId="1" applyNumberFormat="1" applyFont="1" applyBorder="1" applyAlignment="1" applyProtection="1">
      <alignment horizontal="right" vertical="center" wrapText="1"/>
      <protection locked="0"/>
    </xf>
    <xf numFmtId="9" fontId="39" fillId="0" borderId="44" xfId="3" applyFont="1" applyBorder="1" applyAlignment="1" applyProtection="1">
      <alignment horizontal="center" vertical="center"/>
    </xf>
    <xf numFmtId="0" fontId="37" fillId="0" borderId="45" xfId="0" applyFont="1" applyFill="1" applyBorder="1" applyAlignment="1" applyProtection="1">
      <alignment vertical="center"/>
      <protection locked="0"/>
    </xf>
    <xf numFmtId="0" fontId="37" fillId="0" borderId="42" xfId="0" applyFont="1" applyFill="1" applyBorder="1" applyAlignment="1" applyProtection="1">
      <alignment vertical="center"/>
      <protection locked="0"/>
    </xf>
    <xf numFmtId="0" fontId="26" fillId="6" borderId="2" xfId="0" applyFont="1" applyFill="1" applyBorder="1" applyAlignment="1" applyProtection="1">
      <alignment horizontal="center" vertical="center"/>
    </xf>
    <xf numFmtId="0" fontId="26" fillId="6" borderId="3" xfId="0" applyFont="1" applyFill="1" applyBorder="1" applyAlignment="1" applyProtection="1">
      <alignment horizontal="center" vertical="center"/>
    </xf>
    <xf numFmtId="0" fontId="26" fillId="6" borderId="4" xfId="0" applyFont="1" applyFill="1" applyBorder="1" applyAlignment="1" applyProtection="1">
      <alignment horizontal="center" vertical="center"/>
    </xf>
    <xf numFmtId="169" fontId="43" fillId="6" borderId="4" xfId="0" applyNumberFormat="1" applyFont="1" applyFill="1" applyBorder="1" applyAlignment="1" applyProtection="1">
      <alignment horizontal="center" vertical="center"/>
    </xf>
    <xf numFmtId="14" fontId="29" fillId="6" borderId="3" xfId="0" applyNumberFormat="1" applyFont="1" applyFill="1" applyBorder="1" applyAlignment="1" applyProtection="1">
      <alignment horizontal="center" vertical="center"/>
    </xf>
    <xf numFmtId="0" fontId="28" fillId="6" borderId="3" xfId="1" applyNumberFormat="1" applyFont="1" applyFill="1" applyBorder="1" applyAlignment="1" applyProtection="1">
      <alignment horizontal="center" vertical="center" wrapText="1"/>
    </xf>
    <xf numFmtId="0" fontId="26" fillId="6" borderId="32" xfId="0" applyFont="1" applyFill="1" applyBorder="1" applyAlignment="1" applyProtection="1">
      <alignment vertical="center"/>
    </xf>
    <xf numFmtId="0" fontId="26" fillId="6" borderId="33" xfId="0" applyFont="1" applyFill="1" applyBorder="1" applyAlignment="1" applyProtection="1">
      <alignment vertical="center"/>
    </xf>
    <xf numFmtId="0" fontId="26" fillId="6" borderId="33" xfId="0" applyFont="1" applyFill="1" applyBorder="1" applyAlignment="1" applyProtection="1">
      <alignment horizontal="center" vertical="center"/>
    </xf>
    <xf numFmtId="0" fontId="44" fillId="6" borderId="34" xfId="0" applyFont="1" applyFill="1" applyBorder="1" applyAlignment="1" applyProtection="1">
      <alignment horizontal="center" vertical="center"/>
    </xf>
    <xf numFmtId="9" fontId="43" fillId="6" borderId="46" xfId="3" applyFont="1" applyFill="1" applyBorder="1" applyAlignment="1" applyProtection="1">
      <alignment horizontal="center" vertical="center"/>
    </xf>
    <xf numFmtId="0" fontId="46" fillId="0" borderId="13" xfId="4" applyFont="1" applyBorder="1" applyAlignment="1">
      <alignment horizontal="centerContinuous" vertical="center" wrapText="1"/>
    </xf>
    <xf numFmtId="0" fontId="26" fillId="0" borderId="13" xfId="0" applyFont="1" applyBorder="1" applyAlignment="1" applyProtection="1">
      <alignment vertical="center" wrapText="1"/>
    </xf>
    <xf numFmtId="169" fontId="39" fillId="0" borderId="1" xfId="2" applyNumberFormat="1" applyFont="1" applyBorder="1" applyAlignment="1" applyProtection="1">
      <alignment horizontal="right" vertical="center" wrapText="1"/>
      <protection locked="0"/>
    </xf>
    <xf numFmtId="14" fontId="37" fillId="0" borderId="1" xfId="2" applyNumberFormat="1" applyFont="1" applyBorder="1" applyAlignment="1" applyProtection="1">
      <alignment horizontal="right" vertical="center" wrapText="1"/>
      <protection locked="0"/>
    </xf>
    <xf numFmtId="0" fontId="28" fillId="0" borderId="1" xfId="1" applyNumberFormat="1" applyFont="1" applyBorder="1" applyAlignment="1" applyProtection="1">
      <alignment horizontal="right" vertical="center" wrapText="1"/>
      <protection locked="0"/>
    </xf>
    <xf numFmtId="9" fontId="47" fillId="0" borderId="50" xfId="3" applyFont="1" applyBorder="1" applyAlignment="1" applyProtection="1">
      <alignment vertical="center" wrapText="1"/>
    </xf>
    <xf numFmtId="0" fontId="25" fillId="0" borderId="19" xfId="0" applyFont="1" applyBorder="1" applyAlignment="1" applyProtection="1">
      <alignment vertical="center" wrapText="1"/>
    </xf>
    <xf numFmtId="0" fontId="25" fillId="0" borderId="13" xfId="0" applyFont="1" applyBorder="1" applyAlignment="1" applyProtection="1">
      <alignment horizontal="center" vertical="center" wrapText="1"/>
    </xf>
    <xf numFmtId="171" fontId="25" fillId="0" borderId="1" xfId="2" applyNumberFormat="1" applyFont="1" applyBorder="1" applyAlignment="1" applyProtection="1">
      <alignment horizontal="center" vertical="center" wrapText="1"/>
      <protection locked="0"/>
    </xf>
    <xf numFmtId="0" fontId="40" fillId="7" borderId="1" xfId="0" applyFont="1" applyFill="1" applyBorder="1" applyAlignment="1" applyProtection="1">
      <alignment horizontal="center" vertical="center" wrapText="1"/>
    </xf>
    <xf numFmtId="172" fontId="44" fillId="7" borderId="1" xfId="2" applyNumberFormat="1" applyFont="1" applyFill="1" applyBorder="1" applyAlignment="1" applyProtection="1">
      <alignment horizontal="right" vertical="center" wrapText="1"/>
    </xf>
    <xf numFmtId="9" fontId="47" fillId="0" borderId="6" xfId="3" applyFont="1" applyBorder="1" applyAlignment="1" applyProtection="1">
      <alignment vertical="center" wrapText="1"/>
    </xf>
    <xf numFmtId="0" fontId="25" fillId="0" borderId="1" xfId="0" applyFont="1" applyBorder="1" applyAlignment="1" applyProtection="1">
      <alignment horizontal="center" vertical="center" wrapText="1"/>
    </xf>
    <xf numFmtId="14" fontId="25" fillId="0" borderId="1" xfId="2" applyNumberFormat="1" applyFont="1" applyBorder="1" applyAlignment="1" applyProtection="1">
      <alignment horizontal="center" vertical="center" wrapText="1"/>
      <protection locked="0"/>
    </xf>
    <xf numFmtId="0" fontId="28" fillId="0" borderId="1" xfId="1" applyNumberFormat="1" applyFont="1" applyBorder="1" applyAlignment="1" applyProtection="1">
      <alignment horizontal="center" vertical="center" wrapText="1"/>
      <protection locked="0"/>
    </xf>
    <xf numFmtId="9" fontId="49" fillId="0" borderId="1" xfId="3" applyFont="1" applyBorder="1" applyAlignment="1" applyProtection="1">
      <alignment horizontal="center" vertical="center" wrapText="1"/>
    </xf>
    <xf numFmtId="0" fontId="25" fillId="0" borderId="23" xfId="0" applyFont="1" applyBorder="1" applyAlignment="1" applyProtection="1">
      <alignment vertical="center" wrapText="1"/>
    </xf>
    <xf numFmtId="0" fontId="37" fillId="0" borderId="22" xfId="0" applyFont="1" applyFill="1" applyBorder="1" applyAlignment="1" applyProtection="1">
      <alignment horizontal="center" vertical="center" wrapText="1"/>
      <protection locked="0"/>
    </xf>
    <xf numFmtId="0" fontId="37" fillId="0" borderId="23" xfId="0" applyFont="1" applyFill="1" applyBorder="1" applyAlignment="1" applyProtection="1">
      <alignment vertical="center" wrapText="1"/>
      <protection locked="0"/>
    </xf>
    <xf numFmtId="0" fontId="26" fillId="6" borderId="24" xfId="0" applyFont="1" applyFill="1" applyBorder="1" applyAlignment="1" applyProtection="1">
      <alignment horizontal="centerContinuous" vertical="center" wrapText="1"/>
    </xf>
    <xf numFmtId="0" fontId="26" fillId="6" borderId="25" xfId="0" applyFont="1" applyFill="1" applyBorder="1" applyAlignment="1" applyProtection="1">
      <alignment horizontal="centerContinuous" vertical="center" wrapText="1"/>
    </xf>
    <xf numFmtId="0" fontId="26" fillId="6" borderId="23" xfId="0" applyFont="1" applyFill="1" applyBorder="1" applyAlignment="1" applyProtection="1">
      <alignment horizontal="centerContinuous" vertical="center" wrapText="1"/>
    </xf>
    <xf numFmtId="169" fontId="43" fillId="6" borderId="23" xfId="0" applyNumberFormat="1" applyFont="1" applyFill="1" applyBorder="1" applyAlignment="1" applyProtection="1">
      <alignment horizontal="center" vertical="center" wrapText="1"/>
    </xf>
    <xf numFmtId="14" fontId="29" fillId="6" borderId="24" xfId="0" applyNumberFormat="1" applyFont="1" applyFill="1" applyBorder="1" applyAlignment="1" applyProtection="1">
      <alignment horizontal="center" vertical="center" wrapText="1"/>
    </xf>
    <xf numFmtId="14" fontId="29" fillId="6" borderId="25" xfId="0" applyNumberFormat="1" applyFont="1" applyFill="1" applyBorder="1" applyAlignment="1" applyProtection="1">
      <alignment horizontal="center" vertical="center" wrapText="1"/>
    </xf>
    <xf numFmtId="0" fontId="28" fillId="6" borderId="25" xfId="1" applyNumberFormat="1" applyFont="1" applyFill="1" applyBorder="1" applyAlignment="1" applyProtection="1">
      <alignment horizontal="center" vertical="center" wrapText="1"/>
    </xf>
    <xf numFmtId="0" fontId="26" fillId="6" borderId="24" xfId="0" applyFont="1" applyFill="1" applyBorder="1" applyAlignment="1" applyProtection="1">
      <alignment vertical="center" wrapText="1"/>
    </xf>
    <xf numFmtId="0" fontId="26" fillId="6" borderId="25" xfId="0" applyFont="1" applyFill="1" applyBorder="1" applyAlignment="1" applyProtection="1">
      <alignment vertical="center" wrapText="1"/>
    </xf>
    <xf numFmtId="0" fontId="26" fillId="6" borderId="25" xfId="0" applyFont="1" applyFill="1" applyBorder="1" applyAlignment="1" applyProtection="1">
      <alignment horizontal="center" vertical="center" wrapText="1"/>
    </xf>
    <xf numFmtId="0" fontId="44" fillId="6" borderId="25" xfId="0" applyFont="1" applyFill="1" applyBorder="1" applyAlignment="1" applyProtection="1">
      <alignment horizontal="center" vertical="center" wrapText="1"/>
    </xf>
    <xf numFmtId="9" fontId="43" fillId="6" borderId="51" xfId="3" applyFont="1" applyFill="1" applyBorder="1" applyAlignment="1" applyProtection="1">
      <alignment horizontal="center" vertical="center" wrapText="1"/>
    </xf>
    <xf numFmtId="0" fontId="37" fillId="0" borderId="40" xfId="0" applyFont="1" applyFill="1" applyBorder="1" applyAlignment="1" applyProtection="1">
      <alignment horizontal="center" vertical="center" wrapText="1"/>
      <protection locked="0"/>
    </xf>
    <xf numFmtId="0" fontId="37" fillId="0" borderId="41" xfId="0" applyFont="1" applyFill="1" applyBorder="1" applyAlignment="1" applyProtection="1">
      <alignment vertical="center" wrapText="1"/>
      <protection locked="0"/>
    </xf>
    <xf numFmtId="0" fontId="37" fillId="0" borderId="42" xfId="0" applyNumberFormat="1" applyFont="1" applyBorder="1" applyAlignment="1" applyProtection="1">
      <alignment horizontal="left" vertical="center" wrapText="1"/>
      <protection locked="0"/>
    </xf>
    <xf numFmtId="14" fontId="37" fillId="0" borderId="42" xfId="0" applyNumberFormat="1" applyFont="1" applyBorder="1" applyAlignment="1" applyProtection="1">
      <alignment horizontal="left" vertical="center" wrapText="1"/>
      <protection locked="0"/>
    </xf>
    <xf numFmtId="0" fontId="28" fillId="0" borderId="42" xfId="1" applyNumberFormat="1" applyFont="1" applyBorder="1" applyAlignment="1" applyProtection="1">
      <alignment horizontal="left" vertical="center" wrapText="1"/>
      <protection locked="0"/>
    </xf>
    <xf numFmtId="0" fontId="38" fillId="0" borderId="42" xfId="0" applyNumberFormat="1" applyFont="1" applyBorder="1" applyAlignment="1" applyProtection="1">
      <alignment horizontal="center" vertical="center" wrapText="1"/>
      <protection locked="0"/>
    </xf>
    <xf numFmtId="9" fontId="37" fillId="0" borderId="44" xfId="3" applyFont="1" applyBorder="1" applyAlignment="1" applyProtection="1">
      <alignment horizontal="center" vertical="center" wrapText="1"/>
      <protection locked="0"/>
    </xf>
    <xf numFmtId="0" fontId="46" fillId="5" borderId="1" xfId="0" applyFont="1" applyFill="1" applyBorder="1" applyAlignment="1" applyProtection="1">
      <alignment horizontal="centerContinuous" vertical="center" wrapText="1"/>
    </xf>
    <xf numFmtId="0" fontId="50" fillId="0" borderId="23" xfId="0" applyFont="1" applyBorder="1" applyAlignment="1" applyProtection="1">
      <alignment vertical="center" wrapText="1"/>
    </xf>
    <xf numFmtId="170" fontId="50" fillId="2" borderId="8" xfId="0" applyNumberFormat="1" applyFont="1" applyFill="1" applyBorder="1" applyAlignment="1" applyProtection="1">
      <alignment horizontal="center" vertical="center"/>
      <protection locked="0"/>
    </xf>
    <xf numFmtId="0" fontId="50" fillId="0" borderId="0" xfId="0" applyFont="1" applyAlignment="1" applyProtection="1">
      <alignment vertical="center"/>
    </xf>
    <xf numFmtId="9" fontId="50" fillId="0" borderId="38" xfId="0" applyNumberFormat="1" applyFont="1" applyBorder="1" applyAlignment="1" applyProtection="1">
      <alignment vertical="center"/>
    </xf>
    <xf numFmtId="0" fontId="50" fillId="0" borderId="39" xfId="0" applyFont="1" applyBorder="1" applyAlignment="1" applyProtection="1">
      <alignment horizontal="center" vertical="center"/>
    </xf>
    <xf numFmtId="9" fontId="43" fillId="0" borderId="1" xfId="3" applyFont="1" applyBorder="1" applyAlignment="1" applyProtection="1">
      <alignment horizontal="center" vertical="center" wrapText="1"/>
    </xf>
    <xf numFmtId="0" fontId="39" fillId="0" borderId="23" xfId="0" applyFont="1" applyBorder="1" applyAlignment="1" applyProtection="1">
      <alignment vertical="center" wrapText="1"/>
    </xf>
    <xf numFmtId="170" fontId="39" fillId="2" borderId="8" xfId="0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vertical="center"/>
    </xf>
    <xf numFmtId="9" fontId="39" fillId="0" borderId="38" xfId="0" applyNumberFormat="1" applyFont="1" applyBorder="1" applyAlignment="1" applyProtection="1">
      <alignment vertical="center"/>
    </xf>
    <xf numFmtId="0" fontId="39" fillId="0" borderId="39" xfId="0" applyFont="1" applyBorder="1" applyAlignment="1" applyProtection="1">
      <alignment horizontal="center" vertical="center"/>
    </xf>
    <xf numFmtId="0" fontId="43" fillId="0" borderId="1" xfId="0" applyFont="1" applyBorder="1" applyAlignment="1" applyProtection="1">
      <alignment vertical="center" wrapText="1"/>
    </xf>
    <xf numFmtId="0" fontId="37" fillId="0" borderId="16" xfId="0" applyFont="1" applyFill="1" applyBorder="1" applyAlignment="1" applyProtection="1">
      <alignment horizontal="center" vertical="center" wrapText="1"/>
      <protection locked="0"/>
    </xf>
    <xf numFmtId="0" fontId="37" fillId="0" borderId="16" xfId="0" applyFont="1" applyBorder="1" applyAlignment="1" applyProtection="1">
      <alignment vertical="center" wrapText="1"/>
    </xf>
    <xf numFmtId="0" fontId="38" fillId="0" borderId="16" xfId="0" applyFont="1" applyBorder="1" applyAlignment="1" applyProtection="1">
      <alignment horizontal="center" vertical="center" wrapText="1"/>
    </xf>
    <xf numFmtId="14" fontId="37" fillId="5" borderId="16" xfId="2" applyNumberFormat="1" applyFont="1" applyFill="1" applyBorder="1" applyAlignment="1" applyProtection="1">
      <alignment horizontal="center" vertical="center" wrapText="1"/>
      <protection locked="0"/>
    </xf>
    <xf numFmtId="0" fontId="28" fillId="5" borderId="17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52" xfId="0" applyFont="1" applyBorder="1" applyAlignment="1" applyProtection="1">
      <alignment horizontal="center" vertical="center" wrapText="1"/>
    </xf>
    <xf numFmtId="0" fontId="40" fillId="0" borderId="53" xfId="0" applyFont="1" applyBorder="1" applyAlignment="1" applyProtection="1">
      <alignment horizontal="center" vertical="center" wrapText="1"/>
    </xf>
    <xf numFmtId="9" fontId="44" fillId="0" borderId="54" xfId="2" applyNumberFormat="1" applyFont="1" applyBorder="1" applyAlignment="1" applyProtection="1">
      <alignment horizontal="center" vertical="center" wrapText="1"/>
    </xf>
    <xf numFmtId="9" fontId="39" fillId="0" borderId="55" xfId="3" applyFont="1" applyBorder="1" applyAlignment="1" applyProtection="1">
      <alignment horizontal="center" vertical="center" wrapText="1"/>
    </xf>
    <xf numFmtId="0" fontId="37" fillId="0" borderId="22" xfId="0" applyFont="1" applyBorder="1" applyAlignment="1" applyProtection="1">
      <alignment vertical="center" wrapText="1"/>
    </xf>
    <xf numFmtId="0" fontId="38" fillId="0" borderId="22" xfId="0" applyFont="1" applyBorder="1" applyAlignment="1" applyProtection="1">
      <alignment horizontal="center" vertical="center" wrapText="1"/>
    </xf>
    <xf numFmtId="14" fontId="37" fillId="5" borderId="22" xfId="0" applyNumberFormat="1" applyFont="1" applyFill="1" applyBorder="1" applyAlignment="1" applyProtection="1">
      <alignment horizontal="center" vertical="center" wrapText="1"/>
    </xf>
    <xf numFmtId="0" fontId="28" fillId="5" borderId="24" xfId="1" applyNumberFormat="1" applyFont="1" applyFill="1" applyBorder="1" applyAlignment="1" applyProtection="1">
      <alignment horizontal="center" vertical="center" wrapText="1"/>
    </xf>
    <xf numFmtId="0" fontId="40" fillId="0" borderId="57" xfId="0" applyFont="1" applyBorder="1" applyAlignment="1" applyProtection="1">
      <alignment horizontal="center" vertical="center" wrapText="1"/>
    </xf>
    <xf numFmtId="0" fontId="40" fillId="0" borderId="58" xfId="0" applyFont="1" applyBorder="1" applyAlignment="1" applyProtection="1">
      <alignment horizontal="center" vertical="center" wrapText="1"/>
    </xf>
    <xf numFmtId="9" fontId="44" fillId="0" borderId="59" xfId="2" applyNumberFormat="1" applyFont="1" applyBorder="1" applyAlignment="1" applyProtection="1">
      <alignment horizontal="center" vertical="center" wrapText="1"/>
    </xf>
    <xf numFmtId="9" fontId="39" fillId="0" borderId="35" xfId="3" applyFont="1" applyBorder="1" applyAlignment="1" applyProtection="1">
      <alignment horizontal="center" vertical="center" wrapText="1"/>
    </xf>
    <xf numFmtId="14" fontId="37" fillId="5" borderId="22" xfId="0" applyNumberFormat="1" applyFont="1" applyFill="1" applyBorder="1" applyAlignment="1" applyProtection="1">
      <alignment horizontal="left" vertical="center" wrapText="1"/>
    </xf>
    <xf numFmtId="0" fontId="28" fillId="5" borderId="24" xfId="1" applyNumberFormat="1" applyFont="1" applyFill="1" applyBorder="1" applyAlignment="1" applyProtection="1">
      <alignment horizontal="left" vertical="center" wrapText="1"/>
    </xf>
    <xf numFmtId="0" fontId="37" fillId="0" borderId="22" xfId="0" applyFont="1" applyBorder="1" applyAlignment="1" applyProtection="1">
      <alignment horizontal="left" vertical="center" wrapText="1"/>
    </xf>
    <xf numFmtId="14" fontId="37" fillId="5" borderId="22" xfId="2" applyNumberFormat="1" applyFont="1" applyFill="1" applyBorder="1" applyAlignment="1" applyProtection="1">
      <alignment horizontal="center" vertical="center" wrapText="1"/>
      <protection locked="0"/>
    </xf>
    <xf numFmtId="0" fontId="28" fillId="5" borderId="24" xfId="1" applyNumberFormat="1" applyFont="1" applyFill="1" applyBorder="1" applyAlignment="1" applyProtection="1">
      <alignment horizontal="center" vertical="center" wrapText="1"/>
      <protection locked="0"/>
    </xf>
    <xf numFmtId="0" fontId="37" fillId="0" borderId="22" xfId="0" applyNumberFormat="1" applyFont="1" applyBorder="1" applyAlignment="1" applyProtection="1">
      <alignment horizontal="left" vertical="center" wrapText="1"/>
      <protection locked="0"/>
    </xf>
    <xf numFmtId="0" fontId="37" fillId="0" borderId="56" xfId="0" applyFont="1" applyBorder="1" applyAlignment="1" applyProtection="1">
      <alignment horizontal="left" vertical="center" wrapText="1"/>
    </xf>
    <xf numFmtId="0" fontId="37" fillId="0" borderId="31" xfId="0" applyFont="1" applyBorder="1" applyAlignment="1" applyProtection="1">
      <alignment horizontal="left" vertical="center" wrapText="1"/>
    </xf>
    <xf numFmtId="0" fontId="37" fillId="0" borderId="30" xfId="0" applyFont="1" applyBorder="1" applyAlignment="1" applyProtection="1">
      <alignment horizontal="left" vertical="center" wrapText="1"/>
    </xf>
    <xf numFmtId="0" fontId="25" fillId="0" borderId="45" xfId="0" applyFont="1" applyBorder="1" applyAlignment="1" applyProtection="1">
      <alignment vertical="center"/>
    </xf>
    <xf numFmtId="0" fontId="25" fillId="0" borderId="42" xfId="0" applyFont="1" applyBorder="1" applyAlignment="1" applyProtection="1">
      <alignment vertical="center"/>
    </xf>
    <xf numFmtId="0" fontId="25" fillId="0" borderId="43" xfId="0" applyFont="1" applyBorder="1" applyAlignment="1" applyProtection="1">
      <alignment vertical="center"/>
    </xf>
    <xf numFmtId="0" fontId="58" fillId="5" borderId="41" xfId="0" applyFont="1" applyFill="1" applyBorder="1" applyAlignment="1" applyProtection="1">
      <alignment vertical="center"/>
    </xf>
    <xf numFmtId="0" fontId="38" fillId="0" borderId="40" xfId="0" applyFont="1" applyBorder="1" applyAlignment="1" applyProtection="1">
      <alignment horizontal="center" vertical="center" wrapText="1"/>
    </xf>
    <xf numFmtId="14" fontId="37" fillId="5" borderId="40" xfId="2" applyNumberFormat="1" applyFont="1" applyFill="1" applyBorder="1" applyAlignment="1" applyProtection="1">
      <alignment horizontal="center" vertical="center" wrapText="1"/>
      <protection locked="0"/>
    </xf>
    <xf numFmtId="0" fontId="28" fillId="5" borderId="45" xfId="1" applyNumberFormat="1" applyFont="1" applyFill="1" applyBorder="1" applyAlignment="1" applyProtection="1">
      <alignment horizontal="center" vertical="center" wrapText="1"/>
      <protection locked="0"/>
    </xf>
    <xf numFmtId="0" fontId="40" fillId="0" borderId="60" xfId="0" applyFont="1" applyBorder="1" applyAlignment="1" applyProtection="1">
      <alignment horizontal="center" vertical="center" wrapText="1"/>
    </xf>
    <xf numFmtId="0" fontId="40" fillId="0" borderId="61" xfId="0" applyFont="1" applyBorder="1" applyAlignment="1" applyProtection="1">
      <alignment horizontal="center" vertical="center" wrapText="1"/>
    </xf>
    <xf numFmtId="9" fontId="44" fillId="0" borderId="62" xfId="2" applyNumberFormat="1" applyFont="1" applyBorder="1" applyAlignment="1" applyProtection="1">
      <alignment horizontal="center" vertical="center" wrapText="1"/>
    </xf>
    <xf numFmtId="9" fontId="39" fillId="0" borderId="44" xfId="3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  <protection locked="0"/>
    </xf>
    <xf numFmtId="0" fontId="37" fillId="0" borderId="1" xfId="0" applyFont="1" applyFill="1" applyBorder="1" applyAlignment="1" applyProtection="1">
      <alignment vertical="center" wrapText="1"/>
      <protection locked="0"/>
    </xf>
    <xf numFmtId="0" fontId="26" fillId="6" borderId="1" xfId="0" applyFont="1" applyFill="1" applyBorder="1" applyAlignment="1" applyProtection="1">
      <alignment horizontal="centerContinuous" vertical="center" wrapText="1"/>
    </xf>
    <xf numFmtId="169" fontId="43" fillId="6" borderId="1" xfId="0" applyNumberFormat="1" applyFont="1" applyFill="1" applyBorder="1" applyAlignment="1" applyProtection="1">
      <alignment horizontal="center" vertical="center" wrapText="1"/>
    </xf>
    <xf numFmtId="14" fontId="29" fillId="6" borderId="1" xfId="0" applyNumberFormat="1" applyFont="1" applyFill="1" applyBorder="1" applyAlignment="1" applyProtection="1">
      <alignment horizontal="center" vertical="center" wrapText="1"/>
    </xf>
    <xf numFmtId="0" fontId="28" fillId="6" borderId="1" xfId="1" applyNumberFormat="1" applyFont="1" applyFill="1" applyBorder="1" applyAlignment="1" applyProtection="1">
      <alignment horizontal="center" vertical="center" wrapText="1"/>
    </xf>
    <xf numFmtId="0" fontId="26" fillId="6" borderId="1" xfId="0" applyFont="1" applyFill="1" applyBorder="1" applyAlignment="1" applyProtection="1">
      <alignment vertical="center" wrapText="1"/>
    </xf>
    <xf numFmtId="0" fontId="26" fillId="6" borderId="1" xfId="0" applyFont="1" applyFill="1" applyBorder="1" applyAlignment="1" applyProtection="1">
      <alignment horizontal="center" vertical="center" wrapText="1"/>
    </xf>
    <xf numFmtId="0" fontId="44" fillId="6" borderId="1" xfId="0" applyFont="1" applyFill="1" applyBorder="1" applyAlignment="1" applyProtection="1">
      <alignment horizontal="center" vertical="center" wrapText="1"/>
    </xf>
    <xf numFmtId="9" fontId="43" fillId="6" borderId="1" xfId="3" applyFont="1" applyFill="1" applyBorder="1" applyAlignment="1" applyProtection="1">
      <alignment horizontal="center" vertical="center" wrapText="1"/>
    </xf>
    <xf numFmtId="170" fontId="25" fillId="2" borderId="12" xfId="0" applyNumberFormat="1" applyFont="1" applyFill="1" applyBorder="1" applyAlignment="1" applyProtection="1">
      <alignment horizontal="center" vertical="center"/>
      <protection locked="0"/>
    </xf>
    <xf numFmtId="170" fontId="50" fillId="2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41" xfId="0" applyFont="1" applyBorder="1" applyAlignment="1" applyProtection="1">
      <alignment vertical="center" wrapText="1"/>
    </xf>
    <xf numFmtId="173" fontId="37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56" xfId="0" applyFont="1" applyBorder="1" applyAlignment="1" applyProtection="1">
      <alignment vertical="center" wrapText="1"/>
    </xf>
    <xf numFmtId="172" fontId="25" fillId="5" borderId="56" xfId="3" applyNumberFormat="1" applyFont="1" applyFill="1" applyBorder="1" applyAlignment="1" applyProtection="1">
      <alignment horizontal="right" vertical="center" wrapText="1" indent="5"/>
    </xf>
    <xf numFmtId="173" fontId="37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24" xfId="0" applyFont="1" applyBorder="1" applyAlignment="1" applyProtection="1">
      <alignment vertical="center" wrapText="1"/>
    </xf>
    <xf numFmtId="172" fontId="25" fillId="5" borderId="24" xfId="3" applyNumberFormat="1" applyFont="1" applyFill="1" applyBorder="1" applyAlignment="1" applyProtection="1">
      <alignment horizontal="right" vertical="center" wrapText="1" indent="5"/>
    </xf>
    <xf numFmtId="9" fontId="25" fillId="0" borderId="63" xfId="0" applyNumberFormat="1" applyFont="1" applyBorder="1" applyAlignment="1" applyProtection="1">
      <alignment vertical="center"/>
    </xf>
    <xf numFmtId="0" fontId="41" fillId="0" borderId="64" xfId="0" applyFont="1" applyBorder="1" applyAlignment="1" applyProtection="1">
      <alignment horizontal="center" vertical="center"/>
    </xf>
    <xf numFmtId="0" fontId="25" fillId="8" borderId="0" xfId="0" applyFont="1" applyFill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0" fontId="25" fillId="8" borderId="0" xfId="0" applyFont="1" applyFill="1" applyBorder="1" applyAlignment="1" applyProtection="1">
      <alignment vertical="center"/>
    </xf>
    <xf numFmtId="0" fontId="25" fillId="2" borderId="0" xfId="0" applyFont="1" applyFill="1" applyBorder="1" applyAlignment="1" applyProtection="1">
      <alignment horizontal="center" vertical="center"/>
    </xf>
    <xf numFmtId="0" fontId="37" fillId="0" borderId="25" xfId="0" applyNumberFormat="1" applyFont="1" applyBorder="1" applyAlignment="1" applyProtection="1">
      <alignment horizontal="left" vertical="center" wrapText="1"/>
      <protection locked="0"/>
    </xf>
    <xf numFmtId="0" fontId="37" fillId="0" borderId="24" xfId="0" applyNumberFormat="1" applyFont="1" applyBorder="1" applyAlignment="1" applyProtection="1">
      <alignment horizontal="left" vertical="center" wrapText="1"/>
      <protection locked="0"/>
    </xf>
    <xf numFmtId="172" fontId="25" fillId="8" borderId="24" xfId="3" applyNumberFormat="1" applyFont="1" applyFill="1" applyBorder="1" applyAlignment="1" applyProtection="1">
      <alignment horizontal="right" vertical="center" wrapText="1" indent="5"/>
    </xf>
    <xf numFmtId="172" fontId="37" fillId="8" borderId="24" xfId="0" applyNumberFormat="1" applyFont="1" applyFill="1" applyBorder="1" applyAlignment="1" applyProtection="1">
      <alignment horizontal="right" vertical="center" wrapText="1" indent="3"/>
      <protection locked="0"/>
    </xf>
    <xf numFmtId="172" fontId="37" fillId="8" borderId="25" xfId="0" applyNumberFormat="1" applyFont="1" applyFill="1" applyBorder="1" applyAlignment="1" applyProtection="1">
      <alignment horizontal="right" vertical="center" wrapText="1" indent="3"/>
      <protection locked="0"/>
    </xf>
    <xf numFmtId="172" fontId="37" fillId="8" borderId="23" xfId="0" applyNumberFormat="1" applyFont="1" applyFill="1" applyBorder="1" applyAlignment="1" applyProtection="1">
      <alignment horizontal="right" vertical="center" wrapText="1" indent="3"/>
      <protection locked="0"/>
    </xf>
    <xf numFmtId="173" fontId="37" fillId="0" borderId="65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43" xfId="0" applyFont="1" applyFill="1" applyBorder="1" applyAlignment="1" applyProtection="1">
      <alignment vertical="center" wrapText="1"/>
      <protection locked="0"/>
    </xf>
    <xf numFmtId="172" fontId="37" fillId="8" borderId="66" xfId="0" applyNumberFormat="1" applyFont="1" applyFill="1" applyBorder="1" applyAlignment="1" applyProtection="1">
      <alignment horizontal="center" vertical="center" wrapText="1"/>
      <protection locked="0"/>
    </xf>
    <xf numFmtId="172" fontId="37" fillId="8" borderId="67" xfId="0" applyNumberFormat="1" applyFont="1" applyFill="1" applyBorder="1" applyAlignment="1" applyProtection="1">
      <alignment horizontal="center" vertical="center" wrapText="1"/>
      <protection locked="0"/>
    </xf>
    <xf numFmtId="172" fontId="37" fillId="8" borderId="43" xfId="0" applyNumberFormat="1" applyFont="1" applyFill="1" applyBorder="1" applyAlignment="1" applyProtection="1">
      <alignment horizontal="center" vertical="center" wrapText="1"/>
      <protection locked="0"/>
    </xf>
    <xf numFmtId="172" fontId="25" fillId="8" borderId="66" xfId="3" applyNumberFormat="1" applyFont="1" applyFill="1" applyBorder="1" applyAlignment="1" applyProtection="1">
      <alignment horizontal="right" vertical="center" wrapText="1" indent="5"/>
    </xf>
    <xf numFmtId="173" fontId="37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37" fillId="0" borderId="12" xfId="0" applyFont="1" applyFill="1" applyBorder="1" applyAlignment="1" applyProtection="1">
      <alignment vertical="center" wrapText="1"/>
      <protection locked="0"/>
    </xf>
    <xf numFmtId="0" fontId="50" fillId="0" borderId="10" xfId="0" applyFont="1" applyBorder="1" applyAlignment="1" applyProtection="1">
      <alignment vertical="center" textRotation="90" wrapText="1"/>
    </xf>
    <xf numFmtId="38" fontId="26" fillId="8" borderId="10" xfId="2" applyNumberFormat="1" applyFont="1" applyFill="1" applyBorder="1" applyAlignment="1" applyProtection="1">
      <alignment horizontal="right" vertical="center" wrapText="1"/>
    </xf>
    <xf numFmtId="0" fontId="25" fillId="0" borderId="12" xfId="0" applyFont="1" applyBorder="1" applyAlignment="1" applyProtection="1">
      <alignment vertical="center" wrapText="1"/>
    </xf>
    <xf numFmtId="38" fontId="60" fillId="8" borderId="0" xfId="2" applyNumberFormat="1" applyFont="1" applyFill="1" applyBorder="1" applyAlignment="1" applyProtection="1">
      <alignment horizontal="right" vertical="center"/>
    </xf>
    <xf numFmtId="38" fontId="60" fillId="8" borderId="0" xfId="2" applyNumberFormat="1" applyFont="1" applyFill="1" applyBorder="1" applyAlignment="1" applyProtection="1">
      <alignment horizontal="center" vertical="center" wrapText="1"/>
    </xf>
    <xf numFmtId="38" fontId="60" fillId="8" borderId="0" xfId="2" applyNumberFormat="1" applyFont="1" applyFill="1" applyBorder="1" applyAlignment="1" applyProtection="1">
      <alignment horizontal="center" vertical="center"/>
    </xf>
    <xf numFmtId="0" fontId="38" fillId="0" borderId="0" xfId="0" applyFont="1" applyAlignment="1" applyProtection="1">
      <alignment horizontal="center" vertical="center"/>
    </xf>
    <xf numFmtId="9" fontId="25" fillId="0" borderId="0" xfId="3" applyFont="1" applyAlignment="1" applyProtection="1">
      <alignment horizontal="center" vertical="center"/>
    </xf>
    <xf numFmtId="0" fontId="62" fillId="8" borderId="0" xfId="0" applyFont="1" applyFill="1" applyBorder="1" applyAlignment="1">
      <alignment vertical="center"/>
    </xf>
    <xf numFmtId="0" fontId="59" fillId="8" borderId="0" xfId="0" applyFont="1" applyFill="1" applyBorder="1" applyAlignment="1">
      <alignment vertical="center"/>
    </xf>
    <xf numFmtId="0" fontId="63" fillId="8" borderId="0" xfId="0" applyFont="1" applyFill="1" applyBorder="1" applyAlignment="1">
      <alignment horizontal="center" vertical="center" wrapText="1"/>
    </xf>
    <xf numFmtId="0" fontId="64" fillId="8" borderId="0" xfId="0" applyFont="1" applyFill="1" applyBorder="1" applyAlignment="1" applyProtection="1">
      <alignment horizontal="center" vertical="top"/>
    </xf>
    <xf numFmtId="38" fontId="60" fillId="8" borderId="0" xfId="2" applyNumberFormat="1" applyFont="1" applyFill="1" applyBorder="1" applyAlignment="1" applyProtection="1">
      <alignment vertical="center"/>
    </xf>
    <xf numFmtId="0" fontId="25" fillId="0" borderId="0" xfId="0" applyFont="1" applyAlignment="1"/>
    <xf numFmtId="40" fontId="25" fillId="0" borderId="0" xfId="1" applyNumberFormat="1" applyFont="1" applyAlignment="1"/>
    <xf numFmtId="14" fontId="37" fillId="0" borderId="0" xfId="0" applyNumberFormat="1" applyFont="1" applyAlignment="1" applyProtection="1">
      <alignment vertical="center"/>
    </xf>
    <xf numFmtId="0" fontId="28" fillId="0" borderId="0" xfId="1" applyNumberFormat="1" applyFont="1" applyAlignment="1" applyProtection="1">
      <alignment vertical="center" wrapText="1"/>
    </xf>
    <xf numFmtId="40" fontId="26" fillId="0" borderId="0" xfId="1" applyNumberFormat="1" applyFont="1" applyAlignment="1"/>
    <xf numFmtId="14" fontId="37" fillId="0" borderId="0" xfId="0" applyNumberFormat="1" applyFont="1" applyAlignment="1"/>
    <xf numFmtId="0" fontId="28" fillId="0" borderId="0" xfId="1" applyNumberFormat="1" applyFont="1" applyAlignment="1">
      <alignment wrapText="1"/>
    </xf>
    <xf numFmtId="0" fontId="26" fillId="0" borderId="2" xfId="0" applyFont="1" applyBorder="1" applyAlignment="1" applyProtection="1">
      <alignment horizontal="center" vertical="center" wrapText="1"/>
    </xf>
    <xf numFmtId="0" fontId="26" fillId="0" borderId="3" xfId="0" applyFont="1" applyBorder="1" applyAlignment="1" applyProtection="1">
      <alignment horizontal="center" vertical="center" wrapText="1"/>
    </xf>
    <xf numFmtId="0" fontId="26" fillId="0" borderId="4" xfId="0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vertical="center" wrapText="1"/>
      <protection locked="0"/>
    </xf>
    <xf numFmtId="0" fontId="26" fillId="6" borderId="1" xfId="0" applyFont="1" applyFill="1" applyBorder="1" applyAlignment="1" applyProtection="1">
      <alignment horizontal="center" vertical="center" wrapText="1"/>
    </xf>
    <xf numFmtId="0" fontId="37" fillId="0" borderId="56" xfId="0" applyFont="1" applyBorder="1" applyAlignment="1" applyProtection="1">
      <alignment horizontal="left" vertical="center" wrapText="1"/>
    </xf>
    <xf numFmtId="0" fontId="37" fillId="0" borderId="31" xfId="0" applyFont="1" applyBorder="1" applyAlignment="1" applyProtection="1">
      <alignment horizontal="left" vertical="center" wrapText="1"/>
    </xf>
    <xf numFmtId="0" fontId="37" fillId="0" borderId="30" xfId="0" applyFont="1" applyBorder="1" applyAlignment="1" applyProtection="1">
      <alignment horizontal="left" vertical="center" wrapText="1"/>
    </xf>
    <xf numFmtId="0" fontId="26" fillId="6" borderId="25" xfId="0" applyFont="1" applyFill="1" applyBorder="1" applyAlignment="1" applyProtection="1">
      <alignment horizontal="center" vertical="center" wrapText="1"/>
    </xf>
    <xf numFmtId="0" fontId="26" fillId="6" borderId="33" xfId="0" applyFont="1" applyFill="1" applyBorder="1" applyAlignment="1" applyProtection="1">
      <alignment horizontal="center" vertical="center"/>
    </xf>
    <xf numFmtId="0" fontId="37" fillId="0" borderId="23" xfId="0" applyFont="1" applyFill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165" fontId="12" fillId="3" borderId="6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left" vertical="center" shrinkToFit="1"/>
    </xf>
    <xf numFmtId="167" fontId="9" fillId="0" borderId="0" xfId="2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 vertical="center" wrapText="1" shrinkToFit="1"/>
    </xf>
    <xf numFmtId="0" fontId="5" fillId="0" borderId="0" xfId="0" applyFont="1" applyBorder="1" applyAlignment="1" applyProtection="1">
      <alignment horizontal="center" vertical="center" shrinkToFit="1"/>
    </xf>
    <xf numFmtId="0" fontId="25" fillId="0" borderId="13" xfId="0" applyFont="1" applyBorder="1" applyAlignment="1" applyProtection="1">
      <alignment horizontal="center" vertical="center"/>
    </xf>
    <xf numFmtId="0" fontId="25" fillId="0" borderId="14" xfId="0" applyFont="1" applyBorder="1" applyAlignment="1" applyProtection="1">
      <alignment horizontal="center" vertical="center"/>
    </xf>
    <xf numFmtId="0" fontId="25" fillId="0" borderId="16" xfId="0" applyFont="1" applyBorder="1" applyAlignment="1" applyProtection="1">
      <alignment horizontal="center" vertical="center"/>
    </xf>
    <xf numFmtId="0" fontId="26" fillId="4" borderId="13" xfId="0" applyFont="1" applyFill="1" applyBorder="1" applyAlignment="1" applyProtection="1">
      <alignment horizontal="center" vertical="center" wrapText="1"/>
    </xf>
    <xf numFmtId="0" fontId="26" fillId="4" borderId="14" xfId="0" applyFont="1" applyFill="1" applyBorder="1" applyAlignment="1" applyProtection="1">
      <alignment horizontal="center" vertical="center" wrapText="1"/>
    </xf>
    <xf numFmtId="0" fontId="26" fillId="4" borderId="16" xfId="0" applyFont="1" applyFill="1" applyBorder="1" applyAlignment="1" applyProtection="1">
      <alignment horizontal="center" vertical="center" wrapText="1"/>
    </xf>
    <xf numFmtId="0" fontId="26" fillId="4" borderId="5" xfId="0" applyFont="1" applyFill="1" applyBorder="1" applyAlignment="1" applyProtection="1">
      <alignment horizontal="center" vertical="center" wrapText="1"/>
    </xf>
    <xf numFmtId="0" fontId="26" fillId="4" borderId="6" xfId="0" applyFont="1" applyFill="1" applyBorder="1" applyAlignment="1" applyProtection="1">
      <alignment horizontal="center" vertical="center" wrapText="1"/>
    </xf>
    <xf numFmtId="0" fontId="26" fillId="4" borderId="7" xfId="0" applyFont="1" applyFill="1" applyBorder="1" applyAlignment="1" applyProtection="1">
      <alignment horizontal="center" vertical="center" wrapText="1"/>
    </xf>
    <xf numFmtId="0" fontId="26" fillId="4" borderId="9" xfId="0" applyFont="1" applyFill="1" applyBorder="1" applyAlignment="1" applyProtection="1">
      <alignment horizontal="center" vertical="center" wrapText="1"/>
    </xf>
    <xf numFmtId="0" fontId="26" fillId="4" borderId="0" xfId="0" applyFont="1" applyFill="1" applyBorder="1" applyAlignment="1" applyProtection="1">
      <alignment horizontal="center" vertical="center" wrapText="1"/>
    </xf>
    <xf numFmtId="0" fontId="26" fillId="4" borderId="8" xfId="0" applyFont="1" applyFill="1" applyBorder="1" applyAlignment="1" applyProtection="1">
      <alignment horizontal="center" vertical="center" wrapText="1"/>
    </xf>
    <xf numFmtId="0" fontId="26" fillId="4" borderId="17" xfId="0" applyFont="1" applyFill="1" applyBorder="1" applyAlignment="1" applyProtection="1">
      <alignment horizontal="center" vertical="center" wrapText="1"/>
    </xf>
    <xf numFmtId="0" fontId="26" fillId="4" borderId="18" xfId="0" applyFont="1" applyFill="1" applyBorder="1" applyAlignment="1" applyProtection="1">
      <alignment horizontal="center" vertical="center" wrapText="1"/>
    </xf>
    <xf numFmtId="0" fontId="26" fillId="4" borderId="19" xfId="0" applyFont="1" applyFill="1" applyBorder="1" applyAlignment="1" applyProtection="1">
      <alignment horizontal="center" vertical="center" wrapText="1"/>
    </xf>
    <xf numFmtId="0" fontId="26" fillId="0" borderId="5" xfId="0" applyFont="1" applyBorder="1" applyAlignment="1" applyProtection="1">
      <alignment horizontal="center" vertical="center" wrapText="1"/>
    </xf>
    <xf numFmtId="0" fontId="26" fillId="0" borderId="6" xfId="0" applyFont="1" applyBorder="1" applyAlignment="1" applyProtection="1">
      <alignment horizontal="center" vertical="center" wrapText="1"/>
    </xf>
    <xf numFmtId="0" fontId="26" fillId="0" borderId="7" xfId="0" applyFont="1" applyBorder="1" applyAlignment="1" applyProtection="1">
      <alignment horizontal="center" vertical="center" wrapText="1"/>
    </xf>
    <xf numFmtId="0" fontId="26" fillId="0" borderId="10" xfId="0" applyFont="1" applyBorder="1" applyAlignment="1" applyProtection="1">
      <alignment horizontal="center" vertical="center" wrapText="1"/>
    </xf>
    <xf numFmtId="0" fontId="26" fillId="0" borderId="11" xfId="0" applyFont="1" applyBorder="1" applyAlignment="1" applyProtection="1">
      <alignment horizontal="center" vertical="center" wrapText="1"/>
    </xf>
    <xf numFmtId="0" fontId="26" fillId="0" borderId="12" xfId="0" applyFont="1" applyBorder="1" applyAlignment="1" applyProtection="1">
      <alignment horizontal="center" vertical="center" wrapText="1"/>
    </xf>
    <xf numFmtId="0" fontId="29" fillId="0" borderId="8" xfId="0" applyFont="1" applyBorder="1" applyAlignment="1" applyProtection="1">
      <alignment horizontal="center" vertical="center" wrapText="1" shrinkToFit="1"/>
    </xf>
    <xf numFmtId="0" fontId="29" fillId="0" borderId="12" xfId="0" applyFont="1" applyBorder="1" applyAlignment="1" applyProtection="1">
      <alignment horizontal="center" vertical="center" wrapText="1" shrinkToFit="1"/>
    </xf>
    <xf numFmtId="14" fontId="26" fillId="0" borderId="14" xfId="0" applyNumberFormat="1" applyFont="1" applyBorder="1" applyAlignment="1" applyProtection="1">
      <alignment horizontal="center" vertical="center" wrapText="1" shrinkToFit="1"/>
    </xf>
    <xf numFmtId="14" fontId="26" fillId="0" borderId="20" xfId="0" applyNumberFormat="1" applyFont="1" applyBorder="1" applyAlignment="1" applyProtection="1">
      <alignment horizontal="center" vertical="center" wrapText="1" shrinkToFit="1"/>
    </xf>
    <xf numFmtId="0" fontId="29" fillId="0" borderId="1" xfId="0" applyFont="1" applyBorder="1" applyAlignment="1" applyProtection="1">
      <alignment horizontal="center" vertical="center"/>
    </xf>
    <xf numFmtId="0" fontId="37" fillId="0" borderId="24" xfId="0" quotePrefix="1" applyFont="1" applyFill="1" applyBorder="1" applyAlignment="1" applyProtection="1">
      <alignment vertical="center"/>
      <protection locked="0"/>
    </xf>
    <xf numFmtId="0" fontId="37" fillId="0" borderId="25" xfId="0" applyFont="1" applyFill="1" applyBorder="1" applyAlignment="1" applyProtection="1">
      <alignment vertical="center"/>
      <protection locked="0"/>
    </xf>
    <xf numFmtId="0" fontId="37" fillId="0" borderId="23" xfId="0" applyFont="1" applyFill="1" applyBorder="1" applyAlignment="1" applyProtection="1">
      <alignment vertical="center"/>
      <protection locked="0"/>
    </xf>
    <xf numFmtId="0" fontId="32" fillId="0" borderId="9" xfId="1" applyNumberFormat="1" applyFont="1" applyBorder="1" applyAlignment="1" applyProtection="1">
      <alignment horizontal="center" vertical="center" wrapText="1" shrinkToFit="1"/>
    </xf>
    <xf numFmtId="0" fontId="36" fillId="0" borderId="10" xfId="1" applyNumberFormat="1" applyFont="1" applyBorder="1" applyAlignment="1" applyProtection="1">
      <alignment horizontal="center" vertical="center" wrapText="1" shrinkToFit="1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vertical="center"/>
    </xf>
    <xf numFmtId="9" fontId="26" fillId="0" borderId="15" xfId="3" applyFont="1" applyBorder="1" applyAlignment="1" applyProtection="1">
      <alignment horizontal="center" vertical="center" wrapText="1"/>
    </xf>
    <xf numFmtId="9" fontId="26" fillId="0" borderId="21" xfId="3" applyFont="1" applyBorder="1" applyAlignment="1" applyProtection="1">
      <alignment horizontal="center" vertical="center"/>
    </xf>
    <xf numFmtId="0" fontId="37" fillId="0" borderId="24" xfId="0" applyFont="1" applyFill="1" applyBorder="1" applyAlignment="1" applyProtection="1">
      <alignment vertical="center"/>
      <protection locked="0"/>
    </xf>
    <xf numFmtId="0" fontId="42" fillId="0" borderId="2" xfId="0" applyFont="1" applyFill="1" applyBorder="1" applyAlignment="1" applyProtection="1">
      <alignment horizontal="center" vertical="center"/>
      <protection locked="0"/>
    </xf>
    <xf numFmtId="0" fontId="42" fillId="0" borderId="4" xfId="0" applyFont="1" applyFill="1" applyBorder="1" applyAlignment="1" applyProtection="1">
      <alignment horizontal="center" vertical="center"/>
      <protection locked="0"/>
    </xf>
    <xf numFmtId="0" fontId="26" fillId="6" borderId="33" xfId="0" applyFont="1" applyFill="1" applyBorder="1" applyAlignment="1" applyProtection="1">
      <alignment horizontal="center" vertical="center"/>
    </xf>
    <xf numFmtId="0" fontId="46" fillId="0" borderId="5" xfId="4" applyFont="1" applyBorder="1" applyAlignment="1">
      <alignment horizontal="left" vertical="center" wrapText="1"/>
    </xf>
    <xf numFmtId="0" fontId="46" fillId="0" borderId="6" xfId="4" applyFont="1" applyBorder="1" applyAlignment="1">
      <alignment horizontal="left" vertical="center" wrapText="1"/>
    </xf>
    <xf numFmtId="0" fontId="46" fillId="0" borderId="7" xfId="4" applyFont="1" applyBorder="1" applyAlignment="1">
      <alignment horizontal="left" vertical="center" wrapText="1"/>
    </xf>
    <xf numFmtId="0" fontId="40" fillId="0" borderId="47" xfId="0" applyFont="1" applyBorder="1" applyAlignment="1" applyProtection="1">
      <alignment horizontal="center" vertical="center" wrapText="1"/>
    </xf>
    <xf numFmtId="0" fontId="40" fillId="0" borderId="48" xfId="0" applyFont="1" applyBorder="1" applyAlignment="1" applyProtection="1">
      <alignment horizontal="center" vertical="center" wrapText="1"/>
    </xf>
    <xf numFmtId="0" fontId="40" fillId="0" borderId="49" xfId="0" applyFont="1" applyBorder="1" applyAlignment="1" applyProtection="1">
      <alignment horizontal="center" vertical="center" wrapText="1"/>
    </xf>
    <xf numFmtId="169" fontId="50" fillId="0" borderId="1" xfId="2" applyNumberFormat="1" applyFont="1" applyFill="1" applyBorder="1" applyAlignment="1" applyProtection="1">
      <alignment horizontal="left" vertical="center" wrapText="1"/>
      <protection locked="0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0" fontId="26" fillId="0" borderId="3" xfId="0" applyFont="1" applyFill="1" applyBorder="1" applyAlignment="1" applyProtection="1">
      <alignment horizontal="center" vertical="center" wrapText="1"/>
      <protection locked="0"/>
    </xf>
    <xf numFmtId="0" fontId="26" fillId="0" borderId="4" xfId="0" applyFont="1" applyFill="1" applyBorder="1" applyAlignment="1" applyProtection="1">
      <alignment horizontal="center" vertical="center" wrapText="1"/>
      <protection locked="0"/>
    </xf>
    <xf numFmtId="0" fontId="74" fillId="0" borderId="3" xfId="0" applyFont="1" applyBorder="1" applyAlignment="1">
      <alignment horizontal="center" vertical="center" wrapText="1"/>
    </xf>
    <xf numFmtId="0" fontId="74" fillId="0" borderId="4" xfId="0" applyFont="1" applyBorder="1" applyAlignment="1">
      <alignment horizontal="center" vertical="center" wrapText="1"/>
    </xf>
    <xf numFmtId="0" fontId="25" fillId="0" borderId="13" xfId="4" applyFont="1" applyBorder="1" applyAlignment="1">
      <alignment horizontal="center" vertical="center" wrapText="1"/>
    </xf>
    <xf numFmtId="0" fontId="25" fillId="0" borderId="20" xfId="4" applyFont="1" applyBorder="1" applyAlignment="1">
      <alignment horizontal="center" vertical="center" wrapText="1"/>
    </xf>
    <xf numFmtId="0" fontId="46" fillId="0" borderId="3" xfId="4" applyFont="1" applyBorder="1" applyAlignment="1">
      <alignment horizontal="center" vertical="center" wrapText="1"/>
    </xf>
    <xf numFmtId="0" fontId="46" fillId="0" borderId="4" xfId="4" applyFont="1" applyBorder="1" applyAlignment="1">
      <alignment horizontal="center" vertical="center" wrapText="1"/>
    </xf>
    <xf numFmtId="0" fontId="25" fillId="0" borderId="2" xfId="0" applyFont="1" applyBorder="1" applyAlignment="1" applyProtection="1">
      <alignment horizontal="left" vertical="center" wrapText="1"/>
    </xf>
    <xf numFmtId="0" fontId="25" fillId="0" borderId="4" xfId="0" applyFont="1" applyBorder="1" applyAlignment="1" applyProtection="1">
      <alignment horizontal="left" vertical="center" wrapText="1"/>
    </xf>
    <xf numFmtId="0" fontId="25" fillId="0" borderId="14" xfId="4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8" fillId="0" borderId="2" xfId="0" applyNumberFormat="1" applyFont="1" applyBorder="1" applyAlignment="1" applyProtection="1">
      <alignment horizontal="left" vertical="center" wrapText="1"/>
      <protection locked="0"/>
    </xf>
    <xf numFmtId="0" fontId="48" fillId="0" borderId="4" xfId="0" applyNumberFormat="1" applyFont="1" applyBorder="1" applyAlignment="1" applyProtection="1">
      <alignment horizontal="left" vertical="center" wrapText="1"/>
      <protection locked="0"/>
    </xf>
    <xf numFmtId="0" fontId="26" fillId="6" borderId="25" xfId="0" applyFont="1" applyFill="1" applyBorder="1" applyAlignment="1" applyProtection="1">
      <alignment horizontal="center" vertical="center" wrapText="1"/>
    </xf>
    <xf numFmtId="0" fontId="37" fillId="0" borderId="45" xfId="0" applyFont="1" applyFill="1" applyBorder="1" applyAlignment="1" applyProtection="1">
      <alignment horizontal="center" vertical="center" wrapText="1"/>
      <protection locked="0"/>
    </xf>
    <xf numFmtId="0" fontId="37" fillId="0" borderId="42" xfId="0" applyFont="1" applyFill="1" applyBorder="1" applyAlignment="1" applyProtection="1">
      <alignment horizontal="center" vertical="center" wrapText="1"/>
      <protection locked="0"/>
    </xf>
    <xf numFmtId="0" fontId="37" fillId="0" borderId="41" xfId="0" applyFont="1" applyFill="1" applyBorder="1" applyAlignment="1" applyProtection="1">
      <alignment horizontal="center" vertical="center" wrapText="1"/>
      <protection locked="0"/>
    </xf>
    <xf numFmtId="0" fontId="50" fillId="0" borderId="1" xfId="0" applyFont="1" applyFill="1" applyBorder="1" applyAlignment="1" applyProtection="1">
      <alignment horizontal="center" vertical="center" wrapText="1"/>
      <protection locked="0"/>
    </xf>
    <xf numFmtId="0" fontId="46" fillId="4" borderId="1" xfId="0" applyFont="1" applyFill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 wrapText="1"/>
    </xf>
    <xf numFmtId="14" fontId="43" fillId="0" borderId="1" xfId="0" applyNumberFormat="1" applyFont="1" applyBorder="1" applyAlignment="1" applyProtection="1">
      <alignment horizontal="center" vertical="center" wrapText="1" shrinkToFit="1"/>
    </xf>
    <xf numFmtId="0" fontId="53" fillId="0" borderId="1" xfId="1" applyNumberFormat="1" applyFont="1" applyBorder="1" applyAlignment="1" applyProtection="1">
      <alignment horizontal="center" vertical="center" wrapText="1" shrinkToFit="1"/>
    </xf>
    <xf numFmtId="0" fontId="57" fillId="0" borderId="1" xfId="1" applyNumberFormat="1" applyFont="1" applyBorder="1" applyAlignment="1" applyProtection="1">
      <alignment horizontal="center" vertical="center" wrapText="1" shrinkToFit="1"/>
    </xf>
    <xf numFmtId="0" fontId="37" fillId="0" borderId="24" xfId="0" applyFont="1" applyFill="1" applyBorder="1" applyAlignment="1" applyProtection="1">
      <alignment horizontal="center" vertical="center" wrapText="1"/>
      <protection locked="0"/>
    </xf>
    <xf numFmtId="0" fontId="37" fillId="0" borderId="25" xfId="0" applyFont="1" applyFill="1" applyBorder="1" applyAlignment="1" applyProtection="1">
      <alignment horizontal="center" vertical="center" wrapText="1"/>
      <protection locked="0"/>
    </xf>
    <xf numFmtId="0" fontId="37" fillId="0" borderId="23" xfId="0" applyFont="1" applyFill="1" applyBorder="1" applyAlignment="1" applyProtection="1">
      <alignment horizontal="center" vertical="center" wrapText="1"/>
      <protection locked="0"/>
    </xf>
    <xf numFmtId="0" fontId="37" fillId="0" borderId="17" xfId="0" applyFont="1" applyFill="1" applyBorder="1" applyAlignment="1" applyProtection="1">
      <alignment horizontal="center" vertical="center" wrapText="1"/>
      <protection locked="0"/>
    </xf>
    <xf numFmtId="0" fontId="37" fillId="0" borderId="18" xfId="0" applyFont="1" applyFill="1" applyBorder="1" applyAlignment="1" applyProtection="1">
      <alignment horizontal="center" vertical="center" wrapText="1"/>
      <protection locked="0"/>
    </xf>
    <xf numFmtId="0" fontId="37" fillId="0" borderId="19" xfId="0" applyFont="1" applyFill="1" applyBorder="1" applyAlignment="1" applyProtection="1">
      <alignment horizontal="center" vertical="center" wrapText="1"/>
      <protection locked="0"/>
    </xf>
    <xf numFmtId="0" fontId="37" fillId="0" borderId="17" xfId="0" applyFont="1" applyBorder="1" applyAlignment="1" applyProtection="1">
      <alignment horizontal="left" vertical="center" wrapText="1"/>
    </xf>
    <xf numFmtId="0" fontId="37" fillId="0" borderId="18" xfId="0" applyFont="1" applyBorder="1" applyAlignment="1" applyProtection="1">
      <alignment horizontal="left" vertical="center" wrapText="1"/>
    </xf>
    <xf numFmtId="0" fontId="37" fillId="0" borderId="19" xfId="0" applyFont="1" applyBorder="1" applyAlignment="1" applyProtection="1">
      <alignment horizontal="left" vertical="center" wrapText="1"/>
    </xf>
    <xf numFmtId="0" fontId="37" fillId="0" borderId="2" xfId="0" applyFont="1" applyBorder="1" applyAlignment="1" applyProtection="1">
      <alignment horizontal="left" vertical="center" wrapText="1"/>
    </xf>
    <xf numFmtId="0" fontId="37" fillId="0" borderId="3" xfId="0" applyFont="1" applyBorder="1" applyAlignment="1" applyProtection="1">
      <alignment horizontal="left" vertical="center" wrapText="1"/>
    </xf>
    <xf numFmtId="0" fontId="37" fillId="0" borderId="4" xfId="0" applyFont="1" applyBorder="1" applyAlignment="1" applyProtection="1">
      <alignment horizontal="left" vertical="center" wrapText="1"/>
    </xf>
    <xf numFmtId="0" fontId="37" fillId="0" borderId="56" xfId="0" applyFont="1" applyBorder="1" applyAlignment="1" applyProtection="1">
      <alignment horizontal="left" vertical="center" wrapText="1"/>
    </xf>
    <xf numFmtId="0" fontId="37" fillId="0" borderId="31" xfId="0" applyFont="1" applyBorder="1" applyAlignment="1" applyProtection="1">
      <alignment horizontal="left" vertical="center" wrapText="1"/>
    </xf>
    <xf numFmtId="0" fontId="37" fillId="0" borderId="30" xfId="0" applyFont="1" applyBorder="1" applyAlignment="1" applyProtection="1">
      <alignment horizontal="left" vertical="center" wrapText="1"/>
    </xf>
    <xf numFmtId="0" fontId="37" fillId="0" borderId="5" xfId="0" applyFont="1" applyBorder="1" applyAlignment="1" applyProtection="1">
      <alignment horizontal="left" vertical="center" wrapText="1"/>
    </xf>
    <xf numFmtId="0" fontId="37" fillId="0" borderId="6" xfId="0" applyFont="1" applyBorder="1" applyAlignment="1" applyProtection="1">
      <alignment horizontal="left" vertical="center" wrapText="1"/>
    </xf>
    <xf numFmtId="0" fontId="37" fillId="0" borderId="7" xfId="0" applyFont="1" applyBorder="1" applyAlignment="1" applyProtection="1">
      <alignment horizontal="left" vertical="center" wrapText="1"/>
    </xf>
    <xf numFmtId="0" fontId="37" fillId="0" borderId="1" xfId="0" applyFont="1" applyFill="1" applyBorder="1" applyAlignment="1" applyProtection="1">
      <alignment vertical="center" wrapText="1"/>
      <protection locked="0"/>
    </xf>
    <xf numFmtId="0" fontId="26" fillId="6" borderId="1" xfId="0" applyFont="1" applyFill="1" applyBorder="1" applyAlignment="1" applyProtection="1">
      <alignment horizontal="center" vertical="center" wrapText="1"/>
    </xf>
    <xf numFmtId="0" fontId="46" fillId="4" borderId="2" xfId="0" applyFont="1" applyFill="1" applyBorder="1" applyAlignment="1" applyProtection="1">
      <alignment horizontal="center" vertical="center" wrapText="1"/>
    </xf>
    <xf numFmtId="0" fontId="46" fillId="4" borderId="3" xfId="0" applyFont="1" applyFill="1" applyBorder="1" applyAlignment="1" applyProtection="1">
      <alignment horizontal="center" vertical="center" wrapText="1"/>
    </xf>
    <xf numFmtId="0" fontId="46" fillId="4" borderId="4" xfId="0" applyFont="1" applyFill="1" applyBorder="1" applyAlignment="1" applyProtection="1">
      <alignment horizontal="center" vertical="center" wrapText="1"/>
    </xf>
    <xf numFmtId="0" fontId="46" fillId="5" borderId="1" xfId="0" applyFont="1" applyFill="1" applyBorder="1" applyAlignment="1" applyProtection="1">
      <alignment horizontal="center" vertical="center" wrapText="1"/>
    </xf>
    <xf numFmtId="0" fontId="26" fillId="0" borderId="13" xfId="0" applyFont="1" applyBorder="1" applyAlignment="1" applyProtection="1">
      <alignment horizontal="center" vertical="center"/>
    </xf>
    <xf numFmtId="0" fontId="26" fillId="9" borderId="1" xfId="0" applyFont="1" applyFill="1" applyBorder="1" applyAlignment="1" applyProtection="1">
      <alignment horizontal="center" vertical="center" wrapText="1"/>
      <protection locked="0"/>
    </xf>
    <xf numFmtId="0" fontId="26" fillId="9" borderId="13" xfId="0" applyFont="1" applyFill="1" applyBorder="1" applyAlignment="1" applyProtection="1">
      <alignment horizontal="center" vertical="center" wrapText="1"/>
      <protection locked="0"/>
    </xf>
    <xf numFmtId="0" fontId="26" fillId="9" borderId="1" xfId="0" applyFont="1" applyFill="1" applyBorder="1" applyAlignment="1" applyProtection="1">
      <alignment horizontal="center" vertical="center" wrapText="1"/>
    </xf>
    <xf numFmtId="0" fontId="26" fillId="9" borderId="13" xfId="0" applyFont="1" applyFill="1" applyBorder="1" applyAlignment="1" applyProtection="1">
      <alignment horizontal="center" vertical="center" wrapText="1"/>
    </xf>
    <xf numFmtId="0" fontId="26" fillId="0" borderId="20" xfId="0" applyFont="1" applyBorder="1" applyAlignment="1" applyProtection="1">
      <alignment horizontal="center" vertical="center" wrapText="1"/>
    </xf>
    <xf numFmtId="0" fontId="26" fillId="0" borderId="13" xfId="0" applyFont="1" applyBorder="1" applyAlignment="1" applyProtection="1">
      <alignment horizontal="center" vertical="center" wrapText="1"/>
    </xf>
    <xf numFmtId="0" fontId="26" fillId="0" borderId="2" xfId="0" applyFont="1" applyBorder="1" applyAlignment="1" applyProtection="1">
      <alignment horizontal="center" vertical="center" wrapText="1"/>
    </xf>
    <xf numFmtId="0" fontId="26" fillId="0" borderId="3" xfId="0" applyFont="1" applyBorder="1" applyAlignment="1" applyProtection="1">
      <alignment horizontal="center" vertical="center" wrapText="1"/>
    </xf>
    <xf numFmtId="0" fontId="26" fillId="0" borderId="4" xfId="0" applyFont="1" applyBorder="1" applyAlignment="1" applyProtection="1">
      <alignment horizontal="center" vertical="center" wrapText="1"/>
    </xf>
    <xf numFmtId="174" fontId="25" fillId="0" borderId="24" xfId="2" applyNumberFormat="1" applyFont="1" applyFill="1" applyBorder="1" applyAlignment="1" applyProtection="1">
      <alignment horizontal="center" vertical="center" wrapText="1"/>
      <protection locked="0"/>
    </xf>
    <xf numFmtId="174" fontId="25" fillId="0" borderId="25" xfId="2" applyNumberFormat="1" applyFont="1" applyFill="1" applyBorder="1" applyAlignment="1" applyProtection="1">
      <alignment horizontal="center" vertical="center" wrapText="1"/>
      <protection locked="0"/>
    </xf>
    <xf numFmtId="174" fontId="25" fillId="0" borderId="23" xfId="2" applyNumberFormat="1" applyFont="1" applyFill="1" applyBorder="1" applyAlignment="1" applyProtection="1">
      <alignment horizontal="center" vertical="center" wrapText="1"/>
      <protection locked="0"/>
    </xf>
    <xf numFmtId="172" fontId="25" fillId="5" borderId="24" xfId="3" applyNumberFormat="1" applyFont="1" applyFill="1" applyBorder="1" applyAlignment="1" applyProtection="1">
      <alignment horizontal="right" vertical="center" wrapText="1" indent="3"/>
    </xf>
    <xf numFmtId="172" fontId="25" fillId="5" borderId="25" xfId="3" applyNumberFormat="1" applyFont="1" applyFill="1" applyBorder="1" applyAlignment="1" applyProtection="1">
      <alignment horizontal="right" vertical="center" wrapText="1" indent="3"/>
    </xf>
    <xf numFmtId="172" fontId="25" fillId="5" borderId="23" xfId="3" applyNumberFormat="1" applyFont="1" applyFill="1" applyBorder="1" applyAlignment="1" applyProtection="1">
      <alignment horizontal="right" vertical="center" wrapText="1" indent="3"/>
    </xf>
    <xf numFmtId="0" fontId="50" fillId="0" borderId="24" xfId="0" applyFont="1" applyBorder="1" applyAlignment="1" applyProtection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4" xfId="0" applyFont="1" applyBorder="1" applyAlignment="1" applyProtection="1">
      <alignment horizontal="left" vertical="center" wrapText="1"/>
    </xf>
    <xf numFmtId="0" fontId="25" fillId="0" borderId="25" xfId="0" applyFont="1" applyBorder="1" applyAlignment="1" applyProtection="1">
      <alignment horizontal="left" vertical="center" wrapText="1"/>
    </xf>
    <xf numFmtId="0" fontId="25" fillId="0" borderId="23" xfId="0" applyFont="1" applyBorder="1" applyAlignment="1" applyProtection="1">
      <alignment horizontal="left" vertical="center" wrapText="1"/>
    </xf>
    <xf numFmtId="38" fontId="25" fillId="10" borderId="24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25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23" xfId="2" applyNumberFormat="1" applyFont="1" applyFill="1" applyBorder="1" applyAlignment="1" applyProtection="1">
      <alignment horizontal="center" vertical="center" wrapText="1"/>
      <protection locked="0"/>
    </xf>
    <xf numFmtId="0" fontId="26" fillId="8" borderId="1" xfId="0" applyFont="1" applyFill="1" applyBorder="1" applyAlignment="1" applyProtection="1">
      <alignment horizontal="center" vertical="center" wrapText="1"/>
    </xf>
    <xf numFmtId="0" fontId="26" fillId="8" borderId="13" xfId="0" applyFont="1" applyFill="1" applyBorder="1" applyAlignment="1" applyProtection="1">
      <alignment horizontal="center" vertical="center" wrapText="1"/>
    </xf>
    <xf numFmtId="172" fontId="25" fillId="5" borderId="56" xfId="3" applyNumberFormat="1" applyFont="1" applyFill="1" applyBorder="1" applyAlignment="1" applyProtection="1">
      <alignment horizontal="right" vertical="center" wrapText="1" indent="3"/>
    </xf>
    <xf numFmtId="172" fontId="25" fillId="5" borderId="31" xfId="3" applyNumberFormat="1" applyFont="1" applyFill="1" applyBorder="1" applyAlignment="1" applyProtection="1">
      <alignment horizontal="right" vertical="center" wrapText="1" indent="3"/>
    </xf>
    <xf numFmtId="172" fontId="25" fillId="5" borderId="30" xfId="3" applyNumberFormat="1" applyFont="1" applyFill="1" applyBorder="1" applyAlignment="1" applyProtection="1">
      <alignment horizontal="right" vertical="center" wrapText="1" indent="3"/>
    </xf>
    <xf numFmtId="0" fontId="50" fillId="0" borderId="56" xfId="0" applyFont="1" applyBorder="1" applyAlignment="1" applyProtection="1">
      <alignment horizontal="center" vertical="center" wrapText="1"/>
    </xf>
    <xf numFmtId="0" fontId="50" fillId="0" borderId="31" xfId="0" applyFont="1" applyBorder="1" applyAlignment="1" applyProtection="1">
      <alignment horizontal="center" vertical="center" wrapText="1"/>
    </xf>
    <xf numFmtId="0" fontId="50" fillId="0" borderId="30" xfId="0" applyFont="1" applyBorder="1" applyAlignment="1" applyProtection="1">
      <alignment horizontal="center" vertical="center" wrapText="1"/>
    </xf>
    <xf numFmtId="38" fontId="26" fillId="0" borderId="56" xfId="2" applyNumberFormat="1" applyFont="1" applyBorder="1" applyAlignment="1" applyProtection="1">
      <alignment horizontal="left" vertical="center" wrapText="1"/>
      <protection locked="0"/>
    </xf>
    <xf numFmtId="38" fontId="26" fillId="0" borderId="31" xfId="2" applyNumberFormat="1" applyFont="1" applyBorder="1" applyAlignment="1" applyProtection="1">
      <alignment horizontal="left" vertical="center" wrapText="1"/>
      <protection locked="0"/>
    </xf>
    <xf numFmtId="38" fontId="26" fillId="0" borderId="30" xfId="2" applyNumberFormat="1" applyFont="1" applyBorder="1" applyAlignment="1" applyProtection="1">
      <alignment horizontal="left" vertical="center" wrapText="1"/>
      <protection locked="0"/>
    </xf>
    <xf numFmtId="38" fontId="25" fillId="0" borderId="56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31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30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56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31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30" xfId="2" applyNumberFormat="1" applyFont="1" applyFill="1" applyBorder="1" applyAlignment="1" applyProtection="1">
      <alignment horizontal="center" vertical="center" wrapText="1"/>
      <protection locked="0"/>
    </xf>
    <xf numFmtId="174" fontId="25" fillId="0" borderId="56" xfId="2" applyNumberFormat="1" applyFont="1" applyFill="1" applyBorder="1" applyAlignment="1" applyProtection="1">
      <alignment horizontal="center" vertical="center" wrapText="1"/>
      <protection locked="0"/>
    </xf>
    <xf numFmtId="174" fontId="25" fillId="0" borderId="31" xfId="2" applyNumberFormat="1" applyFont="1" applyFill="1" applyBorder="1" applyAlignment="1" applyProtection="1">
      <alignment horizontal="center" vertical="center" wrapText="1"/>
      <protection locked="0"/>
    </xf>
    <xf numFmtId="174" fontId="25" fillId="0" borderId="30" xfId="2" applyNumberFormat="1" applyFont="1" applyFill="1" applyBorder="1" applyAlignment="1" applyProtection="1">
      <alignment horizontal="center" vertical="center" wrapText="1"/>
      <protection locked="0"/>
    </xf>
    <xf numFmtId="38" fontId="58" fillId="8" borderId="0" xfId="2" applyNumberFormat="1" applyFont="1" applyFill="1" applyBorder="1" applyAlignment="1" applyProtection="1">
      <alignment horizontal="center" vertical="center"/>
      <protection locked="0"/>
    </xf>
    <xf numFmtId="0" fontId="50" fillId="0" borderId="24" xfId="0" applyFont="1" applyBorder="1" applyAlignment="1" applyProtection="1">
      <alignment horizontal="center" vertical="center" wrapText="1"/>
    </xf>
    <xf numFmtId="0" fontId="50" fillId="0" borderId="25" xfId="0" applyFont="1" applyBorder="1" applyAlignment="1" applyProtection="1">
      <alignment horizontal="center" vertical="center" wrapText="1"/>
    </xf>
    <xf numFmtId="0" fontId="50" fillId="0" borderId="23" xfId="0" applyFont="1" applyBorder="1" applyAlignment="1" applyProtection="1">
      <alignment horizontal="center" vertical="center" wrapText="1"/>
    </xf>
    <xf numFmtId="38" fontId="25" fillId="0" borderId="24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25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23" xfId="2" applyNumberFormat="1" applyFont="1" applyFill="1" applyBorder="1" applyAlignment="1" applyProtection="1">
      <alignment horizontal="center" vertical="center" wrapText="1"/>
      <protection locked="0"/>
    </xf>
    <xf numFmtId="175" fontId="25" fillId="10" borderId="24" xfId="2" applyNumberFormat="1" applyFont="1" applyFill="1" applyBorder="1" applyAlignment="1" applyProtection="1">
      <alignment horizontal="center" vertical="center" wrapText="1"/>
      <protection locked="0"/>
    </xf>
    <xf numFmtId="175" fontId="25" fillId="10" borderId="25" xfId="2" applyNumberFormat="1" applyFont="1" applyFill="1" applyBorder="1" applyAlignment="1" applyProtection="1">
      <alignment horizontal="center" vertical="center" wrapText="1"/>
      <protection locked="0"/>
    </xf>
    <xf numFmtId="175" fontId="25" fillId="10" borderId="23" xfId="2" applyNumberFormat="1" applyFont="1" applyFill="1" applyBorder="1" applyAlignment="1" applyProtection="1">
      <alignment horizontal="center" vertical="center" wrapText="1"/>
      <protection locked="0"/>
    </xf>
    <xf numFmtId="172" fontId="25" fillId="8" borderId="24" xfId="3" applyNumberFormat="1" applyFont="1" applyFill="1" applyBorder="1" applyAlignment="1" applyProtection="1">
      <alignment horizontal="right" vertical="center" wrapText="1" indent="3"/>
    </xf>
    <xf numFmtId="172" fontId="25" fillId="8" borderId="25" xfId="3" applyNumberFormat="1" applyFont="1" applyFill="1" applyBorder="1" applyAlignment="1" applyProtection="1">
      <alignment horizontal="right" vertical="center" wrapText="1" indent="3"/>
    </xf>
    <xf numFmtId="172" fontId="25" fillId="8" borderId="23" xfId="3" applyNumberFormat="1" applyFont="1" applyFill="1" applyBorder="1" applyAlignment="1" applyProtection="1">
      <alignment horizontal="right" vertical="center" wrapText="1" indent="3"/>
    </xf>
    <xf numFmtId="0" fontId="59" fillId="8" borderId="0" xfId="0" quotePrefix="1" applyFont="1" applyFill="1" applyBorder="1" applyAlignment="1">
      <alignment horizontal="left" vertical="center" wrapText="1"/>
    </xf>
    <xf numFmtId="38" fontId="61" fillId="8" borderId="0" xfId="2" applyNumberFormat="1" applyFont="1" applyFill="1" applyBorder="1" applyAlignment="1" applyProtection="1">
      <alignment horizontal="center" vertical="center"/>
    </xf>
    <xf numFmtId="0" fontId="59" fillId="8" borderId="0" xfId="0" applyFont="1" applyFill="1" applyBorder="1" applyAlignment="1">
      <alignment horizontal="center" vertical="center" wrapText="1"/>
    </xf>
    <xf numFmtId="0" fontId="65" fillId="0" borderId="0" xfId="0" applyFont="1" applyAlignment="1" applyProtection="1">
      <alignment horizontal="center" vertical="center"/>
    </xf>
    <xf numFmtId="38" fontId="25" fillId="10" borderId="0" xfId="2" applyNumberFormat="1" applyFont="1" applyFill="1" applyBorder="1" applyAlignment="1" applyProtection="1">
      <alignment horizontal="center" vertical="center" wrapText="1"/>
      <protection locked="0"/>
    </xf>
    <xf numFmtId="0" fontId="26" fillId="8" borderId="11" xfId="0" applyFont="1" applyFill="1" applyBorder="1" applyAlignment="1" applyProtection="1">
      <alignment horizontal="center" vertical="center" wrapText="1"/>
    </xf>
    <xf numFmtId="0" fontId="26" fillId="8" borderId="12" xfId="0" applyFont="1" applyFill="1" applyBorder="1" applyAlignment="1" applyProtection="1">
      <alignment horizontal="center" vertical="center" wrapText="1"/>
    </xf>
    <xf numFmtId="0" fontId="43" fillId="8" borderId="10" xfId="0" applyFont="1" applyFill="1" applyBorder="1" applyAlignment="1" applyProtection="1">
      <alignment horizontal="center" vertical="top" wrapText="1"/>
    </xf>
    <xf numFmtId="0" fontId="43" fillId="8" borderId="11" xfId="0" applyFont="1" applyFill="1" applyBorder="1" applyAlignment="1" applyProtection="1">
      <alignment horizontal="center" vertical="top" wrapText="1"/>
    </xf>
    <xf numFmtId="0" fontId="43" fillId="8" borderId="12" xfId="0" applyFont="1" applyFill="1" applyBorder="1" applyAlignment="1" applyProtection="1">
      <alignment horizontal="center" vertical="top" wrapText="1"/>
    </xf>
    <xf numFmtId="38" fontId="26" fillId="6" borderId="10" xfId="2" applyNumberFormat="1" applyFont="1" applyFill="1" applyBorder="1" applyAlignment="1" applyProtection="1">
      <alignment horizontal="center" vertical="center" wrapText="1"/>
    </xf>
    <xf numFmtId="38" fontId="26" fillId="6" borderId="11" xfId="2" applyNumberFormat="1" applyFont="1" applyFill="1" applyBorder="1" applyAlignment="1" applyProtection="1">
      <alignment horizontal="center" vertical="center" wrapText="1"/>
    </xf>
    <xf numFmtId="38" fontId="26" fillId="6" borderId="12" xfId="2" applyNumberFormat="1" applyFont="1" applyFill="1" applyBorder="1" applyAlignment="1" applyProtection="1">
      <alignment horizontal="center" vertical="center" wrapText="1"/>
    </xf>
    <xf numFmtId="174" fontId="26" fillId="6" borderId="2" xfId="2" applyNumberFormat="1" applyFont="1" applyFill="1" applyBorder="1" applyAlignment="1" applyProtection="1">
      <alignment horizontal="center" vertical="center" wrapText="1"/>
    </xf>
    <xf numFmtId="174" fontId="26" fillId="6" borderId="3" xfId="2" applyNumberFormat="1" applyFont="1" applyFill="1" applyBorder="1" applyAlignment="1" applyProtection="1">
      <alignment horizontal="center" vertical="center" wrapText="1"/>
    </xf>
    <xf numFmtId="174" fontId="26" fillId="6" borderId="4" xfId="2" applyNumberFormat="1" applyFont="1" applyFill="1" applyBorder="1" applyAlignment="1" applyProtection="1">
      <alignment horizontal="center" vertical="center" wrapText="1"/>
    </xf>
    <xf numFmtId="174" fontId="26" fillId="6" borderId="10" xfId="2" applyNumberFormat="1" applyFont="1" applyFill="1" applyBorder="1" applyAlignment="1" applyProtection="1">
      <alignment horizontal="center" vertical="center" wrapText="1"/>
    </xf>
    <xf numFmtId="174" fontId="26" fillId="6" borderId="11" xfId="2" applyNumberFormat="1" applyFont="1" applyFill="1" applyBorder="1" applyAlignment="1" applyProtection="1">
      <alignment horizontal="center" vertical="center" wrapText="1"/>
    </xf>
    <xf numFmtId="174" fontId="26" fillId="6" borderId="12" xfId="2" applyNumberFormat="1" applyFont="1" applyFill="1" applyBorder="1" applyAlignment="1" applyProtection="1">
      <alignment horizontal="center" vertical="center" wrapText="1"/>
    </xf>
    <xf numFmtId="174" fontId="26" fillId="6" borderId="21" xfId="2" applyNumberFormat="1" applyFont="1" applyFill="1" applyBorder="1" applyAlignment="1" applyProtection="1">
      <alignment horizontal="center" vertical="center" wrapText="1"/>
    </xf>
    <xf numFmtId="0" fontId="37" fillId="0" borderId="24" xfId="0" applyFont="1" applyFill="1" applyBorder="1" applyAlignment="1" applyProtection="1">
      <alignment horizontal="center" vertical="center"/>
      <protection locked="0"/>
    </xf>
    <xf numFmtId="0" fontId="37" fillId="0" borderId="25" xfId="0" applyFont="1" applyFill="1" applyBorder="1" applyAlignment="1" applyProtection="1">
      <alignment horizontal="center" vertical="center"/>
      <protection locked="0"/>
    </xf>
    <xf numFmtId="0" fontId="37" fillId="0" borderId="23" xfId="0" applyFont="1" applyFill="1" applyBorder="1" applyAlignment="1" applyProtection="1">
      <alignment horizontal="center" vertical="center"/>
      <protection locked="0"/>
    </xf>
    <xf numFmtId="0" fontId="37" fillId="8" borderId="66" xfId="0" applyNumberFormat="1" applyFont="1" applyFill="1" applyBorder="1" applyAlignment="1" applyProtection="1">
      <alignment horizontal="center" vertical="center" wrapText="1"/>
      <protection locked="0"/>
    </xf>
    <xf numFmtId="0" fontId="37" fillId="8" borderId="67" xfId="0" applyNumberFormat="1" applyFont="1" applyFill="1" applyBorder="1" applyAlignment="1" applyProtection="1">
      <alignment horizontal="center" vertical="center" wrapText="1"/>
      <protection locked="0"/>
    </xf>
    <xf numFmtId="0" fontId="37" fillId="8" borderId="43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66" xfId="0" applyFont="1" applyBorder="1" applyAlignment="1" applyProtection="1">
      <alignment horizontal="left" vertical="center" wrapText="1"/>
    </xf>
    <xf numFmtId="0" fontId="25" fillId="0" borderId="67" xfId="0" applyFont="1" applyBorder="1" applyAlignment="1" applyProtection="1">
      <alignment horizontal="left" vertical="center" wrapText="1"/>
    </xf>
    <xf numFmtId="0" fontId="25" fillId="0" borderId="43" xfId="0" applyFont="1" applyBorder="1" applyAlignment="1" applyProtection="1">
      <alignment horizontal="left" vertical="center" wrapText="1"/>
    </xf>
    <xf numFmtId="38" fontId="25" fillId="0" borderId="66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67" xfId="2" applyNumberFormat="1" applyFont="1" applyFill="1" applyBorder="1" applyAlignment="1" applyProtection="1">
      <alignment horizontal="center" vertical="center" wrapText="1"/>
      <protection locked="0"/>
    </xf>
    <xf numFmtId="38" fontId="25" fillId="0" borderId="43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66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67" xfId="2" applyNumberFormat="1" applyFont="1" applyFill="1" applyBorder="1" applyAlignment="1" applyProtection="1">
      <alignment horizontal="center" vertical="center" wrapText="1"/>
      <protection locked="0"/>
    </xf>
    <xf numFmtId="38" fontId="25" fillId="10" borderId="43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13" xfId="0" applyFont="1" applyFill="1" applyBorder="1" applyAlignment="1" applyProtection="1">
      <alignment horizontal="center" vertical="center" wrapText="1"/>
      <protection locked="0"/>
    </xf>
    <xf numFmtId="0" fontId="26" fillId="0" borderId="14" xfId="0" applyFont="1" applyFill="1" applyBorder="1" applyAlignment="1" applyProtection="1">
      <alignment horizontal="center" vertical="center" wrapText="1"/>
      <protection locked="0"/>
    </xf>
    <xf numFmtId="0" fontId="26" fillId="0" borderId="20" xfId="0" applyFont="1" applyFill="1" applyBorder="1" applyAlignment="1" applyProtection="1">
      <alignment horizontal="center" vertical="center" wrapText="1"/>
      <protection locked="0"/>
    </xf>
    <xf numFmtId="0" fontId="46" fillId="0" borderId="13" xfId="4" applyFont="1" applyBorder="1" applyAlignment="1">
      <alignment horizontal="center" vertical="center" wrapText="1"/>
    </xf>
    <xf numFmtId="0" fontId="46" fillId="0" borderId="20" xfId="4" applyFont="1" applyBorder="1" applyAlignment="1">
      <alignment horizontal="center" vertical="center" wrapText="1"/>
    </xf>
    <xf numFmtId="0" fontId="26" fillId="0" borderId="2" xfId="4" applyFont="1" applyBorder="1" applyAlignment="1">
      <alignment horizontal="center" vertical="center" wrapText="1"/>
    </xf>
    <xf numFmtId="0" fontId="26" fillId="0" borderId="3" xfId="4" applyFont="1" applyBorder="1" applyAlignment="1">
      <alignment horizontal="center" vertical="center" wrapText="1"/>
    </xf>
    <xf numFmtId="0" fontId="26" fillId="0" borderId="4" xfId="4" applyFont="1" applyBorder="1" applyAlignment="1">
      <alignment horizontal="center" vertical="center" wrapText="1"/>
    </xf>
  </cellXfs>
  <cellStyles count="5">
    <cellStyle name="_12.Phat thanh cong cong (TT) 2" xfId="4"/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133394</xdr:colOff>
      <xdr:row>0</xdr:row>
      <xdr:rowOff>163868</xdr:rowOff>
    </xdr:from>
    <xdr:to>
      <xdr:col>5</xdr:col>
      <xdr:colOff>202288</xdr:colOff>
      <xdr:row>0</xdr:row>
      <xdr:rowOff>789156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69" y="163868"/>
          <a:ext cx="2764469" cy="625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133394</xdr:colOff>
      <xdr:row>0</xdr:row>
      <xdr:rowOff>163868</xdr:rowOff>
    </xdr:from>
    <xdr:to>
      <xdr:col>5</xdr:col>
      <xdr:colOff>202288</xdr:colOff>
      <xdr:row>0</xdr:row>
      <xdr:rowOff>789156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69" y="163868"/>
          <a:ext cx="2764469" cy="625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12"/>
  <sheetViews>
    <sheetView tabSelected="1" view="pageBreakPreview" topLeftCell="A14" zoomScale="70" zoomScaleNormal="100" zoomScaleSheetLayoutView="70" zoomScalePageLayoutView="70" workbookViewId="0">
      <selection activeCell="I36" sqref="I36:J36"/>
    </sheetView>
  </sheetViews>
  <sheetFormatPr defaultRowHeight="15.75"/>
  <cols>
    <col min="1" max="1" width="7.28515625" style="48" customWidth="1"/>
    <col min="2" max="2" width="24" style="48" customWidth="1"/>
    <col min="3" max="3" width="2.85546875" style="48" customWidth="1"/>
    <col min="4" max="4" width="2.7109375" style="48" customWidth="1"/>
    <col min="5" max="5" width="10.85546875" style="48" customWidth="1"/>
    <col min="6" max="6" width="5.140625" style="48" customWidth="1"/>
    <col min="7" max="7" width="9.5703125" style="48" customWidth="1"/>
    <col min="8" max="8" width="4.7109375" style="48" customWidth="1"/>
    <col min="9" max="9" width="21.7109375" style="48" customWidth="1"/>
    <col min="10" max="10" width="36.5703125" style="48" bestFit="1" customWidth="1"/>
    <col min="11" max="11" width="10" style="48" customWidth="1"/>
    <col min="12" max="12" width="12.140625" style="253" customWidth="1"/>
    <col min="13" max="13" width="11.85546875" style="253" bestFit="1" customWidth="1"/>
    <col min="14" max="14" width="7.7109375" style="254" customWidth="1"/>
    <col min="15" max="33" width="2.7109375" style="48" customWidth="1"/>
    <col min="34" max="34" width="2.5703125" style="48" customWidth="1"/>
    <col min="35" max="35" width="6" style="244" customWidth="1"/>
    <col min="36" max="36" width="16.28515625" style="245" customWidth="1"/>
    <col min="37" max="37" width="0.85546875" style="48" hidden="1" customWidth="1"/>
    <col min="38" max="38" width="7.28515625" style="47" customWidth="1"/>
    <col min="39" max="39" width="6" style="48" customWidth="1"/>
    <col min="40" max="40" width="10.28515625" style="48" customWidth="1"/>
    <col min="41" max="41" width="7.42578125" style="48" hidden="1" customWidth="1"/>
    <col min="42" max="42" width="11" style="48" hidden="1" customWidth="1"/>
    <col min="43" max="47" width="10.28515625" style="48" customWidth="1"/>
    <col min="48" max="48" width="8.7109375" style="48" customWidth="1"/>
    <col min="49" max="49" width="10.28515625" style="48" customWidth="1"/>
    <col min="50" max="16384" width="9.140625" style="48"/>
  </cols>
  <sheetData>
    <row r="1" spans="1:42" s="1" customFormat="1" ht="70.5" customHeight="1">
      <c r="L1" s="2"/>
      <c r="M1" s="2"/>
      <c r="N1" s="3"/>
      <c r="Q1" s="269" t="s">
        <v>0</v>
      </c>
      <c r="R1" s="270"/>
      <c r="S1" s="270"/>
      <c r="T1" s="270"/>
      <c r="U1" s="270"/>
      <c r="V1" s="270"/>
      <c r="W1" s="270"/>
      <c r="X1" s="270"/>
      <c r="Y1" s="269" t="s">
        <v>87</v>
      </c>
      <c r="Z1" s="270"/>
      <c r="AA1" s="270"/>
      <c r="AB1" s="270"/>
      <c r="AC1" s="270"/>
      <c r="AD1" s="270"/>
      <c r="AE1" s="270"/>
      <c r="AF1" s="270"/>
      <c r="AG1" s="269" t="s">
        <v>1</v>
      </c>
      <c r="AH1" s="270"/>
      <c r="AI1" s="270"/>
      <c r="AJ1" s="270"/>
      <c r="AL1" s="4"/>
    </row>
    <row r="2" spans="1:42" s="1" customFormat="1" ht="23.25" customHeight="1">
      <c r="E2" s="5" t="s">
        <v>2</v>
      </c>
      <c r="F2" s="6"/>
      <c r="G2" s="6"/>
      <c r="H2" s="6"/>
      <c r="I2" s="5"/>
      <c r="J2" s="6"/>
      <c r="K2" s="6"/>
      <c r="L2" s="7"/>
      <c r="M2" s="7"/>
      <c r="N2" s="8"/>
      <c r="O2" s="6"/>
      <c r="P2" s="6"/>
      <c r="Q2" s="271"/>
      <c r="R2" s="272"/>
      <c r="S2" s="272"/>
      <c r="T2" s="272"/>
      <c r="U2" s="272"/>
      <c r="V2" s="272"/>
      <c r="W2" s="272"/>
      <c r="X2" s="273"/>
      <c r="Y2" s="271" t="s">
        <v>90</v>
      </c>
      <c r="Z2" s="272"/>
      <c r="AA2" s="272"/>
      <c r="AB2" s="272"/>
      <c r="AC2" s="272"/>
      <c r="AD2" s="272"/>
      <c r="AE2" s="272"/>
      <c r="AF2" s="273"/>
      <c r="AG2" s="9"/>
      <c r="AH2" s="10"/>
      <c r="AI2" s="10"/>
      <c r="AJ2" s="11"/>
      <c r="AL2" s="4"/>
    </row>
    <row r="3" spans="1:42" s="1" customFormat="1" ht="30.75" customHeight="1">
      <c r="E3" s="12" t="s">
        <v>4</v>
      </c>
      <c r="F3" s="5"/>
      <c r="G3" s="5"/>
      <c r="H3" s="5"/>
      <c r="I3" s="5"/>
      <c r="J3" s="5"/>
      <c r="K3" s="5"/>
      <c r="L3" s="13"/>
      <c r="M3" s="13"/>
      <c r="N3" s="14"/>
      <c r="O3" s="5"/>
      <c r="P3" s="15"/>
      <c r="Q3" s="274"/>
      <c r="R3" s="275"/>
      <c r="S3" s="275"/>
      <c r="T3" s="275"/>
      <c r="U3" s="275"/>
      <c r="V3" s="275"/>
      <c r="W3" s="275"/>
      <c r="X3" s="276"/>
      <c r="Y3" s="274"/>
      <c r="Z3" s="275"/>
      <c r="AA3" s="275"/>
      <c r="AB3" s="275"/>
      <c r="AC3" s="275"/>
      <c r="AD3" s="275"/>
      <c r="AE3" s="275"/>
      <c r="AF3" s="276"/>
      <c r="AG3" s="274"/>
      <c r="AH3" s="275"/>
      <c r="AI3" s="275"/>
      <c r="AJ3" s="276"/>
      <c r="AL3" s="4"/>
    </row>
    <row r="4" spans="1:42" s="1" customFormat="1" ht="15.75" customHeight="1">
      <c r="A4" s="16"/>
      <c r="B4" s="16"/>
      <c r="E4" s="5"/>
      <c r="F4" s="5"/>
      <c r="G4" s="5"/>
      <c r="H4" s="5"/>
      <c r="I4" s="5"/>
      <c r="J4" s="5"/>
      <c r="K4" s="5"/>
      <c r="L4" s="13"/>
      <c r="M4" s="13"/>
      <c r="N4" s="14"/>
      <c r="O4" s="5"/>
      <c r="P4" s="15"/>
      <c r="Q4" s="277"/>
      <c r="R4" s="278"/>
      <c r="S4" s="278"/>
      <c r="T4" s="278"/>
      <c r="U4" s="278"/>
      <c r="V4" s="278"/>
      <c r="W4" s="278"/>
      <c r="X4" s="279"/>
      <c r="Y4" s="277"/>
      <c r="Z4" s="278"/>
      <c r="AA4" s="278"/>
      <c r="AB4" s="278"/>
      <c r="AC4" s="278"/>
      <c r="AD4" s="278"/>
      <c r="AE4" s="278"/>
      <c r="AF4" s="279"/>
      <c r="AG4" s="277"/>
      <c r="AH4" s="278"/>
      <c r="AI4" s="278"/>
      <c r="AJ4" s="279"/>
      <c r="AL4" s="4"/>
    </row>
    <row r="5" spans="1:42" s="1" customFormat="1" ht="1.5" customHeight="1">
      <c r="E5" s="17"/>
      <c r="F5" s="17"/>
      <c r="G5" s="17"/>
      <c r="H5" s="17"/>
      <c r="I5" s="17"/>
      <c r="J5" s="17"/>
      <c r="L5" s="2"/>
      <c r="M5" s="2"/>
      <c r="N5" s="3"/>
      <c r="P5" s="18"/>
      <c r="Q5" s="280"/>
      <c r="R5" s="281"/>
      <c r="S5" s="281"/>
      <c r="T5" s="281"/>
      <c r="U5" s="281"/>
      <c r="V5" s="281"/>
      <c r="W5" s="281"/>
      <c r="X5" s="282"/>
      <c r="Y5" s="280"/>
      <c r="Z5" s="281"/>
      <c r="AA5" s="281"/>
      <c r="AB5" s="281"/>
      <c r="AC5" s="281"/>
      <c r="AD5" s="281"/>
      <c r="AE5" s="281"/>
      <c r="AF5" s="282"/>
      <c r="AG5" s="280"/>
      <c r="AH5" s="281"/>
      <c r="AI5" s="281"/>
      <c r="AJ5" s="282"/>
      <c r="AL5" s="4"/>
    </row>
    <row r="6" spans="1:42" s="1" customFormat="1" ht="15" customHeight="1">
      <c r="L6" s="2"/>
      <c r="M6" s="2"/>
      <c r="N6" s="3"/>
      <c r="W6" s="283" t="s">
        <v>89</v>
      </c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L6" s="4"/>
      <c r="AN6" s="1" t="str">
        <f>IF(AM6="","",IF(AM6&lt;&gt;0,VLOOKUP(AM6,$AF$106:$AG$116,2),0))</f>
        <v/>
      </c>
    </row>
    <row r="7" spans="1:42" s="1" customFormat="1" ht="18.75">
      <c r="A7" s="284" t="s">
        <v>5</v>
      </c>
      <c r="B7" s="284"/>
      <c r="D7" s="19" t="s">
        <v>6</v>
      </c>
      <c r="E7" s="20"/>
      <c r="F7" s="21"/>
      <c r="G7" s="21"/>
      <c r="H7" s="22"/>
      <c r="I7" s="22"/>
      <c r="J7" s="21"/>
      <c r="K7" s="21"/>
      <c r="L7" s="23"/>
      <c r="M7" s="23"/>
      <c r="N7" s="24"/>
      <c r="O7" s="21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L7" s="4"/>
    </row>
    <row r="8" spans="1:42" s="1" customFormat="1" ht="18.75">
      <c r="A8" s="26" t="s">
        <v>7</v>
      </c>
      <c r="B8" s="27"/>
      <c r="D8" s="20" t="s">
        <v>85</v>
      </c>
      <c r="E8" s="20"/>
      <c r="F8" s="21"/>
      <c r="G8" s="21"/>
      <c r="H8" s="22"/>
      <c r="I8" s="22"/>
      <c r="J8" s="21"/>
      <c r="K8" s="21"/>
      <c r="L8" s="23"/>
      <c r="M8" s="23"/>
      <c r="N8" s="24"/>
      <c r="O8" s="21"/>
      <c r="V8" s="28"/>
      <c r="W8" s="285" t="s">
        <v>8</v>
      </c>
      <c r="X8" s="285"/>
      <c r="Y8" s="285"/>
      <c r="Z8" s="285"/>
      <c r="AA8" s="285"/>
      <c r="AB8" s="285"/>
      <c r="AC8" s="285"/>
      <c r="AD8" s="285"/>
      <c r="AE8" s="285"/>
      <c r="AF8" s="285"/>
      <c r="AG8" s="285"/>
      <c r="AH8" s="285"/>
      <c r="AI8" s="285"/>
      <c r="AJ8" s="285"/>
      <c r="AL8" s="4"/>
    </row>
    <row r="9" spans="1:42" s="1" customFormat="1" ht="18.75">
      <c r="A9" s="29" t="s">
        <v>9</v>
      </c>
      <c r="B9" s="29"/>
      <c r="D9" s="20"/>
      <c r="E9" s="20"/>
      <c r="F9" s="22"/>
      <c r="G9" s="22"/>
      <c r="H9" s="21"/>
      <c r="I9" s="21"/>
      <c r="J9" s="21"/>
      <c r="K9" s="21"/>
      <c r="L9" s="23"/>
      <c r="M9" s="23"/>
      <c r="N9" s="24"/>
      <c r="O9" s="22"/>
      <c r="P9" s="30"/>
      <c r="Q9" s="30"/>
      <c r="R9" s="30"/>
      <c r="S9" s="30"/>
      <c r="T9" s="31"/>
      <c r="U9" s="31"/>
      <c r="V9" s="32"/>
      <c r="W9" s="32"/>
      <c r="AI9" s="33"/>
      <c r="AJ9" s="34"/>
      <c r="AL9" s="4"/>
    </row>
    <row r="10" spans="1:42" s="1" customFormat="1">
      <c r="A10" s="1" t="s">
        <v>10</v>
      </c>
      <c r="B10" s="35"/>
      <c r="D10" s="36" t="s">
        <v>11</v>
      </c>
      <c r="E10" s="36"/>
      <c r="F10" s="36"/>
      <c r="G10" s="36"/>
      <c r="H10" s="36"/>
      <c r="I10" s="36"/>
      <c r="J10" s="37"/>
      <c r="K10" s="38"/>
      <c r="L10" s="39"/>
      <c r="M10" s="39"/>
      <c r="N10" s="40"/>
      <c r="O10" s="41"/>
      <c r="P10" s="30"/>
      <c r="Q10" s="30"/>
      <c r="R10" s="30"/>
      <c r="S10" s="30"/>
      <c r="T10" s="31"/>
      <c r="U10" s="31"/>
      <c r="V10" s="32"/>
      <c r="W10" s="32"/>
      <c r="AI10" s="33"/>
      <c r="AJ10" s="34"/>
      <c r="AL10" s="4"/>
    </row>
    <row r="11" spans="1:42" s="1" customFormat="1" ht="36.75" customHeight="1">
      <c r="J11" s="42"/>
      <c r="K11" s="42"/>
      <c r="L11" s="2"/>
      <c r="M11" s="2"/>
      <c r="N11" s="3"/>
      <c r="X11" s="286" t="s">
        <v>12</v>
      </c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L11" s="4"/>
    </row>
    <row r="12" spans="1:42" ht="32.25" customHeight="1">
      <c r="A12" s="288" t="s">
        <v>13</v>
      </c>
      <c r="B12" s="291" t="s">
        <v>14</v>
      </c>
      <c r="C12" s="294" t="s">
        <v>15</v>
      </c>
      <c r="D12" s="295"/>
      <c r="E12" s="295"/>
      <c r="F12" s="295"/>
      <c r="G12" s="296"/>
      <c r="H12" s="43" t="s">
        <v>16</v>
      </c>
      <c r="I12" s="43"/>
      <c r="J12" s="43"/>
      <c r="K12" s="43"/>
      <c r="L12" s="43"/>
      <c r="M12" s="43"/>
      <c r="N12" s="4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3"/>
      <c r="AK12" s="46"/>
    </row>
    <row r="13" spans="1:42" ht="32.25" customHeight="1">
      <c r="A13" s="289"/>
      <c r="B13" s="292"/>
      <c r="C13" s="297"/>
      <c r="D13" s="298"/>
      <c r="E13" s="298"/>
      <c r="F13" s="298"/>
      <c r="G13" s="299"/>
      <c r="H13" s="303" t="s">
        <v>17</v>
      </c>
      <c r="I13" s="304"/>
      <c r="J13" s="305"/>
      <c r="K13" s="309" t="s">
        <v>18</v>
      </c>
      <c r="L13" s="311" t="s">
        <v>19</v>
      </c>
      <c r="M13" s="311" t="s">
        <v>20</v>
      </c>
      <c r="N13" s="317" t="s">
        <v>21</v>
      </c>
      <c r="O13" s="319" t="s">
        <v>22</v>
      </c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1" t="s">
        <v>23</v>
      </c>
      <c r="AK13" s="49"/>
    </row>
    <row r="14" spans="1:42" ht="22.5" customHeight="1">
      <c r="A14" s="290"/>
      <c r="B14" s="293"/>
      <c r="C14" s="300"/>
      <c r="D14" s="301"/>
      <c r="E14" s="301"/>
      <c r="F14" s="301"/>
      <c r="G14" s="302"/>
      <c r="H14" s="306"/>
      <c r="I14" s="307"/>
      <c r="J14" s="308"/>
      <c r="K14" s="310"/>
      <c r="L14" s="312"/>
      <c r="M14" s="312"/>
      <c r="N14" s="318"/>
      <c r="O14" s="50"/>
      <c r="P14" s="313">
        <v>10</v>
      </c>
      <c r="Q14" s="313"/>
      <c r="R14" s="313">
        <v>20</v>
      </c>
      <c r="S14" s="313"/>
      <c r="T14" s="313">
        <v>30</v>
      </c>
      <c r="U14" s="313"/>
      <c r="V14" s="313">
        <v>40</v>
      </c>
      <c r="W14" s="313"/>
      <c r="X14" s="313">
        <v>50</v>
      </c>
      <c r="Y14" s="313"/>
      <c r="Z14" s="313">
        <v>60</v>
      </c>
      <c r="AA14" s="313"/>
      <c r="AB14" s="313">
        <v>70</v>
      </c>
      <c r="AC14" s="313"/>
      <c r="AD14" s="313">
        <v>80</v>
      </c>
      <c r="AE14" s="313"/>
      <c r="AF14" s="313">
        <v>90</v>
      </c>
      <c r="AG14" s="313"/>
      <c r="AH14" s="313">
        <v>100</v>
      </c>
      <c r="AI14" s="313"/>
      <c r="AJ14" s="322"/>
      <c r="AK14" s="49"/>
      <c r="AL14" s="51"/>
    </row>
    <row r="15" spans="1:42" ht="53.25" hidden="1" customHeight="1" thickBot="1">
      <c r="A15" s="52"/>
      <c r="B15" s="53"/>
      <c r="C15" s="461"/>
      <c r="D15" s="462"/>
      <c r="E15" s="462"/>
      <c r="F15" s="462"/>
      <c r="G15" s="463"/>
      <c r="H15" s="258" t="s">
        <v>24</v>
      </c>
      <c r="I15" s="259"/>
      <c r="J15" s="260"/>
      <c r="K15" s="58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3"/>
      <c r="AJ15" s="64"/>
      <c r="AK15" s="49"/>
      <c r="AL15" s="51"/>
    </row>
    <row r="16" spans="1:42" ht="37.5" hidden="1" customHeight="1">
      <c r="A16" s="52"/>
      <c r="B16" s="53"/>
      <c r="C16" s="314"/>
      <c r="D16" s="315"/>
      <c r="E16" s="315"/>
      <c r="F16" s="315"/>
      <c r="G16" s="316"/>
      <c r="H16" s="65">
        <v>1</v>
      </c>
      <c r="I16" s="66"/>
      <c r="J16" s="67"/>
      <c r="K16" s="68"/>
      <c r="L16" s="69"/>
      <c r="M16" s="69"/>
      <c r="N16" s="70"/>
      <c r="O16" s="71" t="str">
        <f t="shared" ref="O16:O25" si="0">IF(AI16="","",IF(AI16&lt;&gt;0,VLOOKUP(AI16,$AO$16:$AP$16,2),0))</f>
        <v>-</v>
      </c>
      <c r="P16" s="72" t="str">
        <f t="shared" ref="P16:P25" si="1">IF(AI16="","",IF(AI16&gt;=0,VLOOKUP(AI16,$AO$17:$AP$17,2),0))</f>
        <v>-</v>
      </c>
      <c r="Q16" s="72" t="e">
        <f t="shared" ref="Q16:Q25" si="2">IF(AI16="","",IF(AI16&gt;=0,VLOOKUP(AI16,$AO$18:$AP$18,2),0))</f>
        <v>#N/A</v>
      </c>
      <c r="R16" s="72" t="e">
        <f t="shared" ref="R16:R25" si="3">IF(AI16="","",IF(AI16&gt;=0,VLOOKUP(AI16,$AO$19:$AP$19,2),0))</f>
        <v>#N/A</v>
      </c>
      <c r="S16" s="72" t="e">
        <f t="shared" ref="S16:S25" si="4">IF(AI16="","",IF(AI16&gt;=0,VLOOKUP(AI16,$AO$20:$AP$20,2),0))</f>
        <v>#N/A</v>
      </c>
      <c r="T16" s="72" t="e">
        <f t="shared" ref="T16:T25" si="5">IF(AI16="","",IF(AI16&gt;=0,VLOOKUP(AI16,$AO$21:$AP$21,2),0))</f>
        <v>#N/A</v>
      </c>
      <c r="U16" s="72" t="e">
        <f t="shared" ref="U16:U25" si="6">IF(AI16="","",IF(AI16&gt;=0,VLOOKUP(AI16,$AO$22:$AP$22,2),0))</f>
        <v>#N/A</v>
      </c>
      <c r="V16" s="72" t="e">
        <f t="shared" ref="V16:V25" si="7">IF(AI16="","",IF(AI16&gt;=0,VLOOKUP(AI16,$AO$23:$AP$23,2),0))</f>
        <v>#N/A</v>
      </c>
      <c r="W16" s="72" t="e">
        <f t="shared" ref="W16:W25" si="8">IF(AI16="","",IF(AI16&gt;=0,VLOOKUP(AI16,$AO$24:$AP$24,2),0))</f>
        <v>#N/A</v>
      </c>
      <c r="X16" s="72" t="e">
        <f t="shared" ref="X16:X25" si="9">IF(AI16="","",IF(AI16&gt;=0,VLOOKUP(AI16,$AO$25:$AP$25,2),0))</f>
        <v>#N/A</v>
      </c>
      <c r="Y16" s="72" t="e">
        <f t="shared" ref="Y16:Y25" si="10">IF(AI16="","",IF(AI16&gt;=0,VLOOKUP(AI16,$AO$26:$AP$26,2),0))</f>
        <v>#N/A</v>
      </c>
      <c r="Z16" s="72" t="e">
        <f t="shared" ref="Z16:Z25" si="11">IF(AI16="","",IF(AI16&gt;=0,VLOOKUP(AI16,$AO$27:$AP$27,2),0))</f>
        <v>#N/A</v>
      </c>
      <c r="AA16" s="72" t="e">
        <f t="shared" ref="AA16:AA27" si="12">IF(AI16="","",IF(AI16&gt;=0,VLOOKUP(AI16,$AO$59:$AP$59,2),0))</f>
        <v>#N/A</v>
      </c>
      <c r="AB16" s="72" t="e">
        <f t="shared" ref="AB16:AB27" si="13">IF(AI16="","",IF(AI16&gt;=0,VLOOKUP(AI16,$AO$59:$AP$59,2),0))</f>
        <v>#N/A</v>
      </c>
      <c r="AC16" s="72" t="e">
        <f t="shared" ref="AC16:AC27" si="14">IF(AI16="","",IF(AI16&gt;=0,VLOOKUP(AI16,$AO$61:$AP$61,2),0))</f>
        <v>#N/A</v>
      </c>
      <c r="AD16" s="72" t="e">
        <f t="shared" ref="AD16:AD27" si="15">IF(AI16="","",IF(AI16&gt;=0,VLOOKUP(AI16,$AO$62:$AP$62,2),0))</f>
        <v>#N/A</v>
      </c>
      <c r="AE16" s="72" t="e">
        <f t="shared" ref="AE16:AE27" si="16">IF(AI16="","",IF(AI16&gt;=0,VLOOKUP(AI16,$AO$63:$AP$63,2),0))</f>
        <v>#N/A</v>
      </c>
      <c r="AF16" s="72" t="e">
        <f t="shared" ref="AF16:AF27" si="17">IF(AI16="","",IF(AI16&gt;=0,VLOOKUP(AI16,$AO$64:$AP$64,2),0))</f>
        <v>#N/A</v>
      </c>
      <c r="AG16" s="72" t="e">
        <f t="shared" ref="AG16:AG27" si="18">IF(AI16="","",IF(AI16&gt;=0,VLOOKUP(AI16,$AO$65:$AP$65,2),0))</f>
        <v>#N/A</v>
      </c>
      <c r="AH16" s="72" t="e">
        <f t="shared" ref="AH16:AH27" si="19">IF(AI16="","",IF(AI16&gt;=0,VLOOKUP(AI16,$AO$66:$AP$66,2),0))</f>
        <v>#N/A</v>
      </c>
      <c r="AI16" s="73">
        <v>0.1</v>
      </c>
      <c r="AJ16" s="74" t="e">
        <f>#REF!*AI16</f>
        <v>#REF!</v>
      </c>
      <c r="AK16" s="49"/>
      <c r="AL16" s="75"/>
      <c r="AO16" s="76">
        <v>0.05</v>
      </c>
      <c r="AP16" s="77" t="s">
        <v>25</v>
      </c>
    </row>
    <row r="17" spans="1:42" ht="37.5" hidden="1" customHeight="1">
      <c r="A17" s="52"/>
      <c r="B17" s="53"/>
      <c r="C17" s="314"/>
      <c r="D17" s="315"/>
      <c r="E17" s="315"/>
      <c r="F17" s="315"/>
      <c r="G17" s="316"/>
      <c r="H17" s="78">
        <v>2</v>
      </c>
      <c r="I17" s="66"/>
      <c r="J17" s="67"/>
      <c r="K17" s="79"/>
      <c r="L17" s="80"/>
      <c r="M17" s="80"/>
      <c r="N17" s="81"/>
      <c r="O17" s="71">
        <f t="shared" si="0"/>
        <v>0</v>
      </c>
      <c r="P17" s="72" t="e">
        <f t="shared" si="1"/>
        <v>#N/A</v>
      </c>
      <c r="Q17" s="72" t="e">
        <f t="shared" si="2"/>
        <v>#N/A</v>
      </c>
      <c r="R17" s="72" t="e">
        <f t="shared" si="3"/>
        <v>#N/A</v>
      </c>
      <c r="S17" s="72" t="e">
        <f t="shared" si="4"/>
        <v>#N/A</v>
      </c>
      <c r="T17" s="72" t="e">
        <f t="shared" si="5"/>
        <v>#N/A</v>
      </c>
      <c r="U17" s="72" t="e">
        <f t="shared" si="6"/>
        <v>#N/A</v>
      </c>
      <c r="V17" s="72" t="e">
        <f t="shared" si="7"/>
        <v>#N/A</v>
      </c>
      <c r="W17" s="72" t="e">
        <f t="shared" si="8"/>
        <v>#N/A</v>
      </c>
      <c r="X17" s="72" t="e">
        <f t="shared" si="9"/>
        <v>#N/A</v>
      </c>
      <c r="Y17" s="72" t="e">
        <f t="shared" si="10"/>
        <v>#N/A</v>
      </c>
      <c r="Z17" s="72" t="e">
        <f t="shared" si="11"/>
        <v>#N/A</v>
      </c>
      <c r="AA17" s="72" t="e">
        <f t="shared" si="12"/>
        <v>#N/A</v>
      </c>
      <c r="AB17" s="72" t="e">
        <f t="shared" si="13"/>
        <v>#N/A</v>
      </c>
      <c r="AC17" s="72" t="e">
        <f t="shared" si="14"/>
        <v>#N/A</v>
      </c>
      <c r="AD17" s="72" t="e">
        <f t="shared" si="15"/>
        <v>#N/A</v>
      </c>
      <c r="AE17" s="72" t="e">
        <f t="shared" si="16"/>
        <v>#N/A</v>
      </c>
      <c r="AF17" s="72" t="e">
        <f t="shared" si="17"/>
        <v>#N/A</v>
      </c>
      <c r="AG17" s="72" t="e">
        <f t="shared" si="18"/>
        <v>#N/A</v>
      </c>
      <c r="AH17" s="72" t="e">
        <f t="shared" si="19"/>
        <v>#N/A</v>
      </c>
      <c r="AI17" s="73">
        <f t="shared" ref="AI17:AI27" si="20">AL17/100</f>
        <v>0</v>
      </c>
      <c r="AJ17" s="74" t="e">
        <f>#REF!*AI17</f>
        <v>#REF!</v>
      </c>
      <c r="AK17" s="49"/>
      <c r="AL17" s="82"/>
      <c r="AO17" s="83">
        <v>0.1</v>
      </c>
      <c r="AP17" s="84" t="s">
        <v>25</v>
      </c>
    </row>
    <row r="18" spans="1:42" ht="37.5" hidden="1" customHeight="1">
      <c r="A18" s="52"/>
      <c r="B18" s="53"/>
      <c r="C18" s="323"/>
      <c r="D18" s="315"/>
      <c r="E18" s="315"/>
      <c r="F18" s="315"/>
      <c r="G18" s="316"/>
      <c r="H18" s="78">
        <v>3</v>
      </c>
      <c r="I18" s="85"/>
      <c r="J18" s="86"/>
      <c r="K18" s="79"/>
      <c r="L18" s="80"/>
      <c r="M18" s="80"/>
      <c r="N18" s="81"/>
      <c r="O18" s="71">
        <f t="shared" si="0"/>
        <v>0</v>
      </c>
      <c r="P18" s="72" t="e">
        <f t="shared" si="1"/>
        <v>#N/A</v>
      </c>
      <c r="Q18" s="72" t="e">
        <f t="shared" si="2"/>
        <v>#N/A</v>
      </c>
      <c r="R18" s="72" t="e">
        <f t="shared" si="3"/>
        <v>#N/A</v>
      </c>
      <c r="S18" s="72" t="e">
        <f t="shared" si="4"/>
        <v>#N/A</v>
      </c>
      <c r="T18" s="72" t="e">
        <f t="shared" si="5"/>
        <v>#N/A</v>
      </c>
      <c r="U18" s="72" t="e">
        <f t="shared" si="6"/>
        <v>#N/A</v>
      </c>
      <c r="V18" s="72" t="e">
        <f t="shared" si="7"/>
        <v>#N/A</v>
      </c>
      <c r="W18" s="72" t="e">
        <f t="shared" si="8"/>
        <v>#N/A</v>
      </c>
      <c r="X18" s="72" t="e">
        <f t="shared" si="9"/>
        <v>#N/A</v>
      </c>
      <c r="Y18" s="72" t="e">
        <f t="shared" si="10"/>
        <v>#N/A</v>
      </c>
      <c r="Z18" s="72" t="e">
        <f t="shared" si="11"/>
        <v>#N/A</v>
      </c>
      <c r="AA18" s="72" t="e">
        <f t="shared" si="12"/>
        <v>#N/A</v>
      </c>
      <c r="AB18" s="72" t="e">
        <f t="shared" si="13"/>
        <v>#N/A</v>
      </c>
      <c r="AC18" s="72" t="e">
        <f t="shared" si="14"/>
        <v>#N/A</v>
      </c>
      <c r="AD18" s="72" t="e">
        <f t="shared" si="15"/>
        <v>#N/A</v>
      </c>
      <c r="AE18" s="72" t="e">
        <f t="shared" si="16"/>
        <v>#N/A</v>
      </c>
      <c r="AF18" s="72" t="e">
        <f t="shared" si="17"/>
        <v>#N/A</v>
      </c>
      <c r="AG18" s="72" t="e">
        <f t="shared" si="18"/>
        <v>#N/A</v>
      </c>
      <c r="AH18" s="72" t="e">
        <f t="shared" si="19"/>
        <v>#N/A</v>
      </c>
      <c r="AI18" s="73">
        <f t="shared" si="20"/>
        <v>0</v>
      </c>
      <c r="AJ18" s="74" t="e">
        <f>#REF!*AI18</f>
        <v>#REF!</v>
      </c>
      <c r="AK18" s="49"/>
      <c r="AL18" s="82"/>
      <c r="AO18" s="83">
        <v>0.15</v>
      </c>
      <c r="AP18" s="84" t="s">
        <v>25</v>
      </c>
    </row>
    <row r="19" spans="1:42" ht="37.5" hidden="1" customHeight="1">
      <c r="A19" s="52"/>
      <c r="B19" s="53"/>
      <c r="C19" s="314"/>
      <c r="D19" s="315"/>
      <c r="E19" s="315"/>
      <c r="F19" s="315"/>
      <c r="G19" s="316"/>
      <c r="H19" s="78">
        <v>4</v>
      </c>
      <c r="I19" s="85"/>
      <c r="J19" s="86"/>
      <c r="K19" s="79"/>
      <c r="L19" s="80"/>
      <c r="M19" s="80"/>
      <c r="N19" s="81"/>
      <c r="O19" s="71">
        <f t="shared" si="0"/>
        <v>0</v>
      </c>
      <c r="P19" s="72" t="e">
        <f t="shared" si="1"/>
        <v>#N/A</v>
      </c>
      <c r="Q19" s="72" t="e">
        <f t="shared" si="2"/>
        <v>#N/A</v>
      </c>
      <c r="R19" s="72" t="e">
        <f t="shared" si="3"/>
        <v>#N/A</v>
      </c>
      <c r="S19" s="72" t="e">
        <f t="shared" si="4"/>
        <v>#N/A</v>
      </c>
      <c r="T19" s="72" t="e">
        <f t="shared" si="5"/>
        <v>#N/A</v>
      </c>
      <c r="U19" s="72" t="e">
        <f t="shared" si="6"/>
        <v>#N/A</v>
      </c>
      <c r="V19" s="72" t="e">
        <f t="shared" si="7"/>
        <v>#N/A</v>
      </c>
      <c r="W19" s="72" t="e">
        <f t="shared" si="8"/>
        <v>#N/A</v>
      </c>
      <c r="X19" s="72" t="e">
        <f t="shared" si="9"/>
        <v>#N/A</v>
      </c>
      <c r="Y19" s="72" t="e">
        <f t="shared" si="10"/>
        <v>#N/A</v>
      </c>
      <c r="Z19" s="72" t="e">
        <f t="shared" si="11"/>
        <v>#N/A</v>
      </c>
      <c r="AA19" s="72" t="e">
        <f t="shared" si="12"/>
        <v>#N/A</v>
      </c>
      <c r="AB19" s="72" t="e">
        <f t="shared" si="13"/>
        <v>#N/A</v>
      </c>
      <c r="AC19" s="72" t="e">
        <f t="shared" si="14"/>
        <v>#N/A</v>
      </c>
      <c r="AD19" s="72" t="e">
        <f t="shared" si="15"/>
        <v>#N/A</v>
      </c>
      <c r="AE19" s="72" t="e">
        <f t="shared" si="16"/>
        <v>#N/A</v>
      </c>
      <c r="AF19" s="72" t="e">
        <f t="shared" si="17"/>
        <v>#N/A</v>
      </c>
      <c r="AG19" s="72" t="e">
        <f t="shared" si="18"/>
        <v>#N/A</v>
      </c>
      <c r="AH19" s="72" t="e">
        <f t="shared" si="19"/>
        <v>#N/A</v>
      </c>
      <c r="AI19" s="73">
        <f t="shared" si="20"/>
        <v>0</v>
      </c>
      <c r="AJ19" s="74" t="e">
        <f>#REF!*AI19</f>
        <v>#REF!</v>
      </c>
      <c r="AK19" s="49"/>
      <c r="AL19" s="82"/>
      <c r="AO19" s="83">
        <v>0.2</v>
      </c>
      <c r="AP19" s="84" t="s">
        <v>25</v>
      </c>
    </row>
    <row r="20" spans="1:42" ht="37.5" hidden="1" customHeight="1">
      <c r="A20" s="52"/>
      <c r="B20" s="268"/>
      <c r="C20" s="323"/>
      <c r="D20" s="315"/>
      <c r="E20" s="315"/>
      <c r="F20" s="315"/>
      <c r="G20" s="316"/>
      <c r="H20" s="78">
        <v>5</v>
      </c>
      <c r="I20" s="85"/>
      <c r="J20" s="86"/>
      <c r="K20" s="79"/>
      <c r="L20" s="80"/>
      <c r="M20" s="80"/>
      <c r="N20" s="81"/>
      <c r="O20" s="71">
        <f t="shared" si="0"/>
        <v>0</v>
      </c>
      <c r="P20" s="72" t="e">
        <f t="shared" si="1"/>
        <v>#N/A</v>
      </c>
      <c r="Q20" s="72" t="e">
        <f t="shared" si="2"/>
        <v>#N/A</v>
      </c>
      <c r="R20" s="72" t="e">
        <f t="shared" si="3"/>
        <v>#N/A</v>
      </c>
      <c r="S20" s="72" t="e">
        <f t="shared" si="4"/>
        <v>#N/A</v>
      </c>
      <c r="T20" s="72" t="e">
        <f t="shared" si="5"/>
        <v>#N/A</v>
      </c>
      <c r="U20" s="72" t="e">
        <f t="shared" si="6"/>
        <v>#N/A</v>
      </c>
      <c r="V20" s="72" t="e">
        <f t="shared" si="7"/>
        <v>#N/A</v>
      </c>
      <c r="W20" s="72" t="e">
        <f t="shared" si="8"/>
        <v>#N/A</v>
      </c>
      <c r="X20" s="72" t="e">
        <f t="shared" si="9"/>
        <v>#N/A</v>
      </c>
      <c r="Y20" s="72" t="e">
        <f t="shared" si="10"/>
        <v>#N/A</v>
      </c>
      <c r="Z20" s="72" t="e">
        <f t="shared" si="11"/>
        <v>#N/A</v>
      </c>
      <c r="AA20" s="72" t="e">
        <f t="shared" si="12"/>
        <v>#N/A</v>
      </c>
      <c r="AB20" s="72" t="e">
        <f t="shared" si="13"/>
        <v>#N/A</v>
      </c>
      <c r="AC20" s="72" t="e">
        <f t="shared" si="14"/>
        <v>#N/A</v>
      </c>
      <c r="AD20" s="72" t="e">
        <f t="shared" si="15"/>
        <v>#N/A</v>
      </c>
      <c r="AE20" s="72" t="e">
        <f t="shared" si="16"/>
        <v>#N/A</v>
      </c>
      <c r="AF20" s="72" t="e">
        <f t="shared" si="17"/>
        <v>#N/A</v>
      </c>
      <c r="AG20" s="72" t="e">
        <f t="shared" si="18"/>
        <v>#N/A</v>
      </c>
      <c r="AH20" s="72" t="e">
        <f t="shared" si="19"/>
        <v>#N/A</v>
      </c>
      <c r="AI20" s="73">
        <f t="shared" si="20"/>
        <v>0</v>
      </c>
      <c r="AJ20" s="74" t="e">
        <f>#REF!*AI20</f>
        <v>#REF!</v>
      </c>
      <c r="AK20" s="49"/>
      <c r="AL20" s="82"/>
      <c r="AO20" s="83">
        <v>0.25</v>
      </c>
      <c r="AP20" s="84" t="s">
        <v>25</v>
      </c>
    </row>
    <row r="21" spans="1:42" ht="37.5" hidden="1" customHeight="1">
      <c r="A21" s="87"/>
      <c r="B21" s="88"/>
      <c r="C21" s="314"/>
      <c r="D21" s="315"/>
      <c r="E21" s="315"/>
      <c r="F21" s="315"/>
      <c r="G21" s="316"/>
      <c r="H21" s="78">
        <v>6</v>
      </c>
      <c r="I21" s="85"/>
      <c r="J21" s="86"/>
      <c r="K21" s="79"/>
      <c r="L21" s="80"/>
      <c r="M21" s="80"/>
      <c r="N21" s="81"/>
      <c r="O21" s="71">
        <f t="shared" si="0"/>
        <v>0</v>
      </c>
      <c r="P21" s="72" t="e">
        <f t="shared" si="1"/>
        <v>#N/A</v>
      </c>
      <c r="Q21" s="72" t="e">
        <f t="shared" si="2"/>
        <v>#N/A</v>
      </c>
      <c r="R21" s="72" t="e">
        <f t="shared" si="3"/>
        <v>#N/A</v>
      </c>
      <c r="S21" s="72" t="e">
        <f t="shared" si="4"/>
        <v>#N/A</v>
      </c>
      <c r="T21" s="72" t="e">
        <f t="shared" si="5"/>
        <v>#N/A</v>
      </c>
      <c r="U21" s="72" t="e">
        <f t="shared" si="6"/>
        <v>#N/A</v>
      </c>
      <c r="V21" s="72" t="e">
        <f t="shared" si="7"/>
        <v>#N/A</v>
      </c>
      <c r="W21" s="72" t="e">
        <f t="shared" si="8"/>
        <v>#N/A</v>
      </c>
      <c r="X21" s="72" t="e">
        <f t="shared" si="9"/>
        <v>#N/A</v>
      </c>
      <c r="Y21" s="72" t="e">
        <f t="shared" si="10"/>
        <v>#N/A</v>
      </c>
      <c r="Z21" s="72" t="e">
        <f t="shared" si="11"/>
        <v>#N/A</v>
      </c>
      <c r="AA21" s="72" t="e">
        <f t="shared" si="12"/>
        <v>#N/A</v>
      </c>
      <c r="AB21" s="72" t="e">
        <f t="shared" si="13"/>
        <v>#N/A</v>
      </c>
      <c r="AC21" s="72" t="e">
        <f t="shared" si="14"/>
        <v>#N/A</v>
      </c>
      <c r="AD21" s="72" t="e">
        <f t="shared" si="15"/>
        <v>#N/A</v>
      </c>
      <c r="AE21" s="72" t="e">
        <f t="shared" si="16"/>
        <v>#N/A</v>
      </c>
      <c r="AF21" s="72" t="e">
        <f t="shared" si="17"/>
        <v>#N/A</v>
      </c>
      <c r="AG21" s="72" t="e">
        <f t="shared" si="18"/>
        <v>#N/A</v>
      </c>
      <c r="AH21" s="72" t="e">
        <f t="shared" si="19"/>
        <v>#N/A</v>
      </c>
      <c r="AI21" s="73">
        <f t="shared" si="20"/>
        <v>0</v>
      </c>
      <c r="AJ21" s="74" t="e">
        <f>#REF!*AI21</f>
        <v>#REF!</v>
      </c>
      <c r="AK21" s="49"/>
      <c r="AL21" s="82"/>
      <c r="AO21" s="83">
        <v>0.3</v>
      </c>
      <c r="AP21" s="84" t="s">
        <v>25</v>
      </c>
    </row>
    <row r="22" spans="1:42" ht="37.5" hidden="1" customHeight="1">
      <c r="A22" s="324" t="s">
        <v>26</v>
      </c>
      <c r="B22" s="325"/>
      <c r="C22" s="323"/>
      <c r="D22" s="315"/>
      <c r="E22" s="315"/>
      <c r="F22" s="315"/>
      <c r="G22" s="316"/>
      <c r="H22" s="78">
        <v>7</v>
      </c>
      <c r="I22" s="85"/>
      <c r="J22" s="86"/>
      <c r="K22" s="79"/>
      <c r="L22" s="80"/>
      <c r="M22" s="80"/>
      <c r="N22" s="81"/>
      <c r="O22" s="71">
        <f t="shared" si="0"/>
        <v>0</v>
      </c>
      <c r="P22" s="72" t="e">
        <f t="shared" si="1"/>
        <v>#N/A</v>
      </c>
      <c r="Q22" s="72" t="e">
        <f t="shared" si="2"/>
        <v>#N/A</v>
      </c>
      <c r="R22" s="72" t="e">
        <f t="shared" si="3"/>
        <v>#N/A</v>
      </c>
      <c r="S22" s="72" t="e">
        <f t="shared" si="4"/>
        <v>#N/A</v>
      </c>
      <c r="T22" s="72" t="e">
        <f t="shared" si="5"/>
        <v>#N/A</v>
      </c>
      <c r="U22" s="72" t="e">
        <f t="shared" si="6"/>
        <v>#N/A</v>
      </c>
      <c r="V22" s="72" t="e">
        <f t="shared" si="7"/>
        <v>#N/A</v>
      </c>
      <c r="W22" s="72" t="e">
        <f t="shared" si="8"/>
        <v>#N/A</v>
      </c>
      <c r="X22" s="72" t="e">
        <f t="shared" si="9"/>
        <v>#N/A</v>
      </c>
      <c r="Y22" s="72" t="e">
        <f t="shared" si="10"/>
        <v>#N/A</v>
      </c>
      <c r="Z22" s="72" t="e">
        <f t="shared" si="11"/>
        <v>#N/A</v>
      </c>
      <c r="AA22" s="72" t="e">
        <f t="shared" si="12"/>
        <v>#N/A</v>
      </c>
      <c r="AB22" s="72" t="e">
        <f t="shared" si="13"/>
        <v>#N/A</v>
      </c>
      <c r="AC22" s="72" t="e">
        <f t="shared" si="14"/>
        <v>#N/A</v>
      </c>
      <c r="AD22" s="72" t="e">
        <f t="shared" si="15"/>
        <v>#N/A</v>
      </c>
      <c r="AE22" s="72" t="e">
        <f t="shared" si="16"/>
        <v>#N/A</v>
      </c>
      <c r="AF22" s="72" t="e">
        <f t="shared" si="17"/>
        <v>#N/A</v>
      </c>
      <c r="AG22" s="72" t="e">
        <f t="shared" si="18"/>
        <v>#N/A</v>
      </c>
      <c r="AH22" s="72" t="e">
        <f t="shared" si="19"/>
        <v>#N/A</v>
      </c>
      <c r="AI22" s="73">
        <f t="shared" si="20"/>
        <v>0</v>
      </c>
      <c r="AJ22" s="74" t="e">
        <f>#REF!*AI22</f>
        <v>#REF!</v>
      </c>
      <c r="AK22" s="49"/>
      <c r="AL22" s="82"/>
      <c r="AO22" s="83">
        <v>0.35</v>
      </c>
      <c r="AP22" s="84" t="s">
        <v>25</v>
      </c>
    </row>
    <row r="23" spans="1:42" ht="37.5" hidden="1" customHeight="1">
      <c r="A23" s="89"/>
      <c r="B23" s="90"/>
      <c r="C23" s="323"/>
      <c r="D23" s="315"/>
      <c r="E23" s="315"/>
      <c r="F23" s="315"/>
      <c r="G23" s="316"/>
      <c r="H23" s="78">
        <v>8</v>
      </c>
      <c r="I23" s="85"/>
      <c r="J23" s="86"/>
      <c r="K23" s="79"/>
      <c r="L23" s="80"/>
      <c r="M23" s="80"/>
      <c r="N23" s="81"/>
      <c r="O23" s="71">
        <f t="shared" si="0"/>
        <v>0</v>
      </c>
      <c r="P23" s="72" t="e">
        <f t="shared" si="1"/>
        <v>#N/A</v>
      </c>
      <c r="Q23" s="72" t="e">
        <f t="shared" si="2"/>
        <v>#N/A</v>
      </c>
      <c r="R23" s="72" t="e">
        <f t="shared" si="3"/>
        <v>#N/A</v>
      </c>
      <c r="S23" s="72" t="e">
        <f t="shared" si="4"/>
        <v>#N/A</v>
      </c>
      <c r="T23" s="72" t="e">
        <f t="shared" si="5"/>
        <v>#N/A</v>
      </c>
      <c r="U23" s="72" t="e">
        <f t="shared" si="6"/>
        <v>#N/A</v>
      </c>
      <c r="V23" s="72" t="e">
        <f t="shared" si="7"/>
        <v>#N/A</v>
      </c>
      <c r="W23" s="72" t="e">
        <f t="shared" si="8"/>
        <v>#N/A</v>
      </c>
      <c r="X23" s="72" t="e">
        <f t="shared" si="9"/>
        <v>#N/A</v>
      </c>
      <c r="Y23" s="72" t="e">
        <f t="shared" si="10"/>
        <v>#N/A</v>
      </c>
      <c r="Z23" s="72" t="e">
        <f t="shared" si="11"/>
        <v>#N/A</v>
      </c>
      <c r="AA23" s="72" t="e">
        <f t="shared" si="12"/>
        <v>#N/A</v>
      </c>
      <c r="AB23" s="72" t="e">
        <f t="shared" si="13"/>
        <v>#N/A</v>
      </c>
      <c r="AC23" s="72" t="e">
        <f t="shared" si="14"/>
        <v>#N/A</v>
      </c>
      <c r="AD23" s="72" t="e">
        <f t="shared" si="15"/>
        <v>#N/A</v>
      </c>
      <c r="AE23" s="72" t="e">
        <f t="shared" si="16"/>
        <v>#N/A</v>
      </c>
      <c r="AF23" s="72" t="e">
        <f t="shared" si="17"/>
        <v>#N/A</v>
      </c>
      <c r="AG23" s="72" t="e">
        <f t="shared" si="18"/>
        <v>#N/A</v>
      </c>
      <c r="AH23" s="72" t="e">
        <f t="shared" si="19"/>
        <v>#N/A</v>
      </c>
      <c r="AI23" s="73">
        <f t="shared" si="20"/>
        <v>0</v>
      </c>
      <c r="AJ23" s="74" t="e">
        <f>#REF!*AI23</f>
        <v>#REF!</v>
      </c>
      <c r="AK23" s="49"/>
      <c r="AL23" s="82"/>
      <c r="AO23" s="83">
        <v>0.4</v>
      </c>
      <c r="AP23" s="84" t="s">
        <v>25</v>
      </c>
    </row>
    <row r="24" spans="1:42" ht="37.5" hidden="1" customHeight="1">
      <c r="A24" s="52"/>
      <c r="B24" s="268"/>
      <c r="C24" s="323"/>
      <c r="D24" s="315"/>
      <c r="E24" s="315"/>
      <c r="F24" s="315"/>
      <c r="G24" s="316"/>
      <c r="H24" s="78">
        <v>9</v>
      </c>
      <c r="I24" s="85"/>
      <c r="J24" s="86"/>
      <c r="K24" s="79"/>
      <c r="L24" s="80"/>
      <c r="M24" s="80"/>
      <c r="N24" s="81"/>
      <c r="O24" s="71">
        <f t="shared" si="0"/>
        <v>0</v>
      </c>
      <c r="P24" s="72" t="e">
        <f t="shared" si="1"/>
        <v>#N/A</v>
      </c>
      <c r="Q24" s="72" t="e">
        <f t="shared" si="2"/>
        <v>#N/A</v>
      </c>
      <c r="R24" s="72" t="e">
        <f t="shared" si="3"/>
        <v>#N/A</v>
      </c>
      <c r="S24" s="72" t="e">
        <f t="shared" si="4"/>
        <v>#N/A</v>
      </c>
      <c r="T24" s="72" t="e">
        <f t="shared" si="5"/>
        <v>#N/A</v>
      </c>
      <c r="U24" s="72" t="e">
        <f t="shared" si="6"/>
        <v>#N/A</v>
      </c>
      <c r="V24" s="72" t="e">
        <f t="shared" si="7"/>
        <v>#N/A</v>
      </c>
      <c r="W24" s="72" t="e">
        <f t="shared" si="8"/>
        <v>#N/A</v>
      </c>
      <c r="X24" s="72" t="e">
        <f t="shared" si="9"/>
        <v>#N/A</v>
      </c>
      <c r="Y24" s="72" t="e">
        <f t="shared" si="10"/>
        <v>#N/A</v>
      </c>
      <c r="Z24" s="72" t="e">
        <f t="shared" si="11"/>
        <v>#N/A</v>
      </c>
      <c r="AA24" s="72" t="e">
        <f t="shared" si="12"/>
        <v>#N/A</v>
      </c>
      <c r="AB24" s="72" t="e">
        <f t="shared" si="13"/>
        <v>#N/A</v>
      </c>
      <c r="AC24" s="72" t="e">
        <f t="shared" si="14"/>
        <v>#N/A</v>
      </c>
      <c r="AD24" s="72" t="e">
        <f t="shared" si="15"/>
        <v>#N/A</v>
      </c>
      <c r="AE24" s="72" t="e">
        <f t="shared" si="16"/>
        <v>#N/A</v>
      </c>
      <c r="AF24" s="72" t="e">
        <f t="shared" si="17"/>
        <v>#N/A</v>
      </c>
      <c r="AG24" s="72" t="e">
        <f t="shared" si="18"/>
        <v>#N/A</v>
      </c>
      <c r="AH24" s="72" t="e">
        <f t="shared" si="19"/>
        <v>#N/A</v>
      </c>
      <c r="AI24" s="73">
        <f t="shared" si="20"/>
        <v>0</v>
      </c>
      <c r="AJ24" s="74" t="e">
        <f>#REF!*AI24</f>
        <v>#REF!</v>
      </c>
      <c r="AK24" s="49"/>
      <c r="AL24" s="82"/>
      <c r="AO24" s="83">
        <v>0.45</v>
      </c>
      <c r="AP24" s="84" t="s">
        <v>25</v>
      </c>
    </row>
    <row r="25" spans="1:42" ht="37.5" hidden="1" customHeight="1">
      <c r="A25" s="52"/>
      <c r="B25" s="268"/>
      <c r="C25" s="323"/>
      <c r="D25" s="315"/>
      <c r="E25" s="315"/>
      <c r="F25" s="315"/>
      <c r="G25" s="316"/>
      <c r="H25" s="78">
        <v>10</v>
      </c>
      <c r="I25" s="85"/>
      <c r="J25" s="86"/>
      <c r="K25" s="79"/>
      <c r="L25" s="80"/>
      <c r="M25" s="80"/>
      <c r="N25" s="81"/>
      <c r="O25" s="71">
        <f t="shared" si="0"/>
        <v>0</v>
      </c>
      <c r="P25" s="72" t="e">
        <f t="shared" si="1"/>
        <v>#N/A</v>
      </c>
      <c r="Q25" s="72" t="e">
        <f t="shared" si="2"/>
        <v>#N/A</v>
      </c>
      <c r="R25" s="72" t="e">
        <f t="shared" si="3"/>
        <v>#N/A</v>
      </c>
      <c r="S25" s="72" t="e">
        <f t="shared" si="4"/>
        <v>#N/A</v>
      </c>
      <c r="T25" s="72" t="e">
        <f t="shared" si="5"/>
        <v>#N/A</v>
      </c>
      <c r="U25" s="72" t="e">
        <f t="shared" si="6"/>
        <v>#N/A</v>
      </c>
      <c r="V25" s="72" t="e">
        <f t="shared" si="7"/>
        <v>#N/A</v>
      </c>
      <c r="W25" s="72" t="e">
        <f t="shared" si="8"/>
        <v>#N/A</v>
      </c>
      <c r="X25" s="72" t="e">
        <f t="shared" si="9"/>
        <v>#N/A</v>
      </c>
      <c r="Y25" s="72" t="e">
        <f t="shared" si="10"/>
        <v>#N/A</v>
      </c>
      <c r="Z25" s="72" t="e">
        <f t="shared" si="11"/>
        <v>#N/A</v>
      </c>
      <c r="AA25" s="72" t="e">
        <f t="shared" si="12"/>
        <v>#N/A</v>
      </c>
      <c r="AB25" s="72" t="e">
        <f t="shared" si="13"/>
        <v>#N/A</v>
      </c>
      <c r="AC25" s="72" t="e">
        <f t="shared" si="14"/>
        <v>#N/A</v>
      </c>
      <c r="AD25" s="72" t="e">
        <f t="shared" si="15"/>
        <v>#N/A</v>
      </c>
      <c r="AE25" s="72" t="e">
        <f t="shared" si="16"/>
        <v>#N/A</v>
      </c>
      <c r="AF25" s="72" t="e">
        <f t="shared" si="17"/>
        <v>#N/A</v>
      </c>
      <c r="AG25" s="72" t="e">
        <f t="shared" si="18"/>
        <v>#N/A</v>
      </c>
      <c r="AH25" s="72" t="e">
        <f t="shared" si="19"/>
        <v>#N/A</v>
      </c>
      <c r="AI25" s="73">
        <f t="shared" si="20"/>
        <v>0</v>
      </c>
      <c r="AJ25" s="74" t="e">
        <f>#REF!*AI25</f>
        <v>#REF!</v>
      </c>
      <c r="AK25" s="49"/>
      <c r="AL25" s="82"/>
      <c r="AO25" s="83">
        <v>0.5</v>
      </c>
      <c r="AP25" s="84" t="s">
        <v>25</v>
      </c>
    </row>
    <row r="26" spans="1:42" ht="37.5" hidden="1" customHeight="1">
      <c r="A26" s="52"/>
      <c r="B26" s="268"/>
      <c r="C26" s="323"/>
      <c r="D26" s="315"/>
      <c r="E26" s="315"/>
      <c r="F26" s="315"/>
      <c r="G26" s="316"/>
      <c r="H26" s="78">
        <v>11</v>
      </c>
      <c r="I26" s="91"/>
      <c r="J26" s="92"/>
      <c r="K26" s="79"/>
      <c r="L26" s="80"/>
      <c r="M26" s="80"/>
      <c r="N26" s="81"/>
      <c r="O26" s="71">
        <f>IF(AI26="","",IF(AI26&lt;&gt;0,VLOOKUP(AI26,$AO$16:$AP$16,2),0))</f>
        <v>0</v>
      </c>
      <c r="P26" s="72" t="e">
        <f>IF(AI26="","",IF(AI26&gt;=0,VLOOKUP(AI26,$AO$17:$AP$17,2),0))</f>
        <v>#N/A</v>
      </c>
      <c r="Q26" s="72" t="e">
        <f>IF(AI26="","",IF(AI26&gt;=0,VLOOKUP(AI26,$AO$18:$AP$18,2),0))</f>
        <v>#N/A</v>
      </c>
      <c r="R26" s="72" t="e">
        <f>IF(AI26="","",IF(AI26&gt;=0,VLOOKUP(AI26,$AO$19:$AP$19,2),0))</f>
        <v>#N/A</v>
      </c>
      <c r="S26" s="72" t="e">
        <f>IF(AI26="","",IF(AI26&gt;=0,VLOOKUP(AI26,$AO$20:$AP$20,2),0))</f>
        <v>#N/A</v>
      </c>
      <c r="T26" s="72" t="e">
        <f>IF(AI26="","",IF(AI26&gt;=0,VLOOKUP(AI26,$AO$21:$AP$21,2),0))</f>
        <v>#N/A</v>
      </c>
      <c r="U26" s="72" t="e">
        <f>IF(AI26="","",IF(AI26&gt;=0,VLOOKUP(AI26,$AO$22:$AP$22,2),0))</f>
        <v>#N/A</v>
      </c>
      <c r="V26" s="72" t="e">
        <f>IF(AI26="","",IF(AI26&gt;=0,VLOOKUP(AI26,$AO$23:$AP$23,2),0))</f>
        <v>#N/A</v>
      </c>
      <c r="W26" s="72" t="e">
        <f>IF(AI26="","",IF(AI26&gt;=0,VLOOKUP(AI26,$AO$24:$AP$24,2),0))</f>
        <v>#N/A</v>
      </c>
      <c r="X26" s="72" t="e">
        <f>IF(AI26="","",IF(AI26&gt;=0,VLOOKUP(AI26,$AO$25:$AP$25,2),0))</f>
        <v>#N/A</v>
      </c>
      <c r="Y26" s="72" t="e">
        <f>IF(AI26="","",IF(AI26&gt;=0,VLOOKUP(AI26,$AO$26:$AP$26,2),0))</f>
        <v>#N/A</v>
      </c>
      <c r="Z26" s="72" t="e">
        <f>IF(AI26="","",IF(AI26&gt;=0,VLOOKUP(AI26,$AO$27:$AP$27,2),0))</f>
        <v>#N/A</v>
      </c>
      <c r="AA26" s="72" t="e">
        <f t="shared" si="12"/>
        <v>#N/A</v>
      </c>
      <c r="AB26" s="72" t="e">
        <f t="shared" si="13"/>
        <v>#N/A</v>
      </c>
      <c r="AC26" s="72" t="e">
        <f t="shared" si="14"/>
        <v>#N/A</v>
      </c>
      <c r="AD26" s="72" t="e">
        <f t="shared" si="15"/>
        <v>#N/A</v>
      </c>
      <c r="AE26" s="72" t="e">
        <f t="shared" si="16"/>
        <v>#N/A</v>
      </c>
      <c r="AF26" s="72" t="e">
        <f t="shared" si="17"/>
        <v>#N/A</v>
      </c>
      <c r="AG26" s="72" t="e">
        <f t="shared" si="18"/>
        <v>#N/A</v>
      </c>
      <c r="AH26" s="72" t="e">
        <f t="shared" si="19"/>
        <v>#N/A</v>
      </c>
      <c r="AI26" s="73">
        <f t="shared" si="20"/>
        <v>0</v>
      </c>
      <c r="AJ26" s="74" t="e">
        <f>#REF!*AI26</f>
        <v>#REF!</v>
      </c>
      <c r="AK26" s="49"/>
      <c r="AL26" s="82"/>
      <c r="AO26" s="83">
        <v>0.55000000000000004</v>
      </c>
      <c r="AP26" s="84" t="s">
        <v>25</v>
      </c>
    </row>
    <row r="27" spans="1:42" ht="37.5" hidden="1" customHeight="1">
      <c r="A27" s="52"/>
      <c r="B27" s="268"/>
      <c r="C27" s="323"/>
      <c r="D27" s="315"/>
      <c r="E27" s="315"/>
      <c r="F27" s="315"/>
      <c r="G27" s="316"/>
      <c r="H27" s="93">
        <v>12</v>
      </c>
      <c r="I27" s="91"/>
      <c r="J27" s="92"/>
      <c r="K27" s="94"/>
      <c r="L27" s="95"/>
      <c r="M27" s="95"/>
      <c r="N27" s="96"/>
      <c r="O27" s="71">
        <f>IF(AI27="","",IF(AI27&lt;&gt;0,VLOOKUP(AI27,$AO$16:$AP$16,2),0))</f>
        <v>0</v>
      </c>
      <c r="P27" s="72" t="e">
        <f>IF(AI27="","",IF(AI27&gt;=0,VLOOKUP(AI27,$AO$17:$AP$17,2),0))</f>
        <v>#N/A</v>
      </c>
      <c r="Q27" s="72" t="e">
        <f>IF(AI27="","",IF(AI27&gt;=0,VLOOKUP(AI27,$AO$18:$AP$18,2),0))</f>
        <v>#N/A</v>
      </c>
      <c r="R27" s="72" t="e">
        <f>IF(AI27="","",IF(AI27&gt;=0,VLOOKUP(AI27,$AO$19:$AP$19,2),0))</f>
        <v>#N/A</v>
      </c>
      <c r="S27" s="72" t="e">
        <f>IF(AI27="","",IF(AI27&gt;=0,VLOOKUP(AI27,$AO$20:$AP$20,2),0))</f>
        <v>#N/A</v>
      </c>
      <c r="T27" s="72" t="e">
        <f>IF(AI27="","",IF(AI27&gt;=0,VLOOKUP(AI27,$AO$21:$AP$21,2),0))</f>
        <v>#N/A</v>
      </c>
      <c r="U27" s="72" t="e">
        <f>IF(AI27="","",IF(AI27&gt;=0,VLOOKUP(AI27,$AO$22:$AP$22,2),0))</f>
        <v>#N/A</v>
      </c>
      <c r="V27" s="72" t="e">
        <f>IF(AI27="","",IF(AI27&gt;=0,VLOOKUP(AI27,$AO$23:$AP$23,2),0))</f>
        <v>#N/A</v>
      </c>
      <c r="W27" s="72" t="e">
        <f>IF(AI27="","",IF(AI27&gt;=0,VLOOKUP(AI27,$AO$24:$AP$24,2),0))</f>
        <v>#N/A</v>
      </c>
      <c r="X27" s="72" t="e">
        <f>IF(AI27="","",IF(AI27&gt;=0,VLOOKUP(AI27,$AO$25:$AP$25,2),0))</f>
        <v>#N/A</v>
      </c>
      <c r="Y27" s="72" t="e">
        <f>IF(AI27="","",IF(AI27&gt;=0,VLOOKUP(AI27,$AO$26:$AP$26,2),0))</f>
        <v>#N/A</v>
      </c>
      <c r="Z27" s="72" t="e">
        <f>IF(AI27="","",IF(AI27&gt;=0,VLOOKUP(AI27,$AO$27:$AP$27,2),0))</f>
        <v>#N/A</v>
      </c>
      <c r="AA27" s="72" t="e">
        <f t="shared" si="12"/>
        <v>#N/A</v>
      </c>
      <c r="AB27" s="72" t="e">
        <f t="shared" si="13"/>
        <v>#N/A</v>
      </c>
      <c r="AC27" s="72" t="e">
        <f t="shared" si="14"/>
        <v>#N/A</v>
      </c>
      <c r="AD27" s="72" t="e">
        <f t="shared" si="15"/>
        <v>#N/A</v>
      </c>
      <c r="AE27" s="72" t="e">
        <f t="shared" si="16"/>
        <v>#N/A</v>
      </c>
      <c r="AF27" s="72" t="e">
        <f t="shared" si="17"/>
        <v>#N/A</v>
      </c>
      <c r="AG27" s="72" t="e">
        <f t="shared" si="18"/>
        <v>#N/A</v>
      </c>
      <c r="AH27" s="72" t="e">
        <f t="shared" si="19"/>
        <v>#N/A</v>
      </c>
      <c r="AI27" s="73">
        <f t="shared" si="20"/>
        <v>0</v>
      </c>
      <c r="AJ27" s="97" t="e">
        <f>#REF!*AI27</f>
        <v>#REF!</v>
      </c>
      <c r="AK27" s="49"/>
      <c r="AL27" s="82"/>
      <c r="AO27" s="83">
        <v>0.6</v>
      </c>
      <c r="AP27" s="84" t="s">
        <v>25</v>
      </c>
    </row>
    <row r="28" spans="1:42" ht="34.5" hidden="1" customHeight="1">
      <c r="A28" s="87"/>
      <c r="B28" s="88"/>
      <c r="C28" s="98"/>
      <c r="D28" s="99"/>
      <c r="E28" s="99"/>
      <c r="F28" s="99"/>
      <c r="G28" s="88"/>
      <c r="H28" s="100" t="s">
        <v>27</v>
      </c>
      <c r="I28" s="101"/>
      <c r="J28" s="102"/>
      <c r="K28" s="103"/>
      <c r="L28" s="104"/>
      <c r="M28" s="104"/>
      <c r="N28" s="105"/>
      <c r="O28" s="106"/>
      <c r="P28" s="107"/>
      <c r="Q28" s="107"/>
      <c r="R28" s="107"/>
      <c r="S28" s="326"/>
      <c r="T28" s="326"/>
      <c r="U28" s="107"/>
      <c r="V28" s="107"/>
      <c r="W28" s="107"/>
      <c r="X28" s="107"/>
      <c r="Y28" s="326"/>
      <c r="Z28" s="326"/>
      <c r="AA28" s="267"/>
      <c r="AB28" s="267"/>
      <c r="AC28" s="267"/>
      <c r="AD28" s="107"/>
      <c r="AE28" s="326"/>
      <c r="AF28" s="326"/>
      <c r="AG28" s="107"/>
      <c r="AH28" s="107"/>
      <c r="AI28" s="109"/>
      <c r="AJ28" s="110" t="e">
        <f>SUM(AJ1:AJ16)</f>
        <v>#REF!</v>
      </c>
      <c r="AK28" s="49"/>
      <c r="AL28" s="82"/>
      <c r="AO28" s="83">
        <v>0.7</v>
      </c>
      <c r="AP28" s="84" t="s">
        <v>25</v>
      </c>
    </row>
    <row r="29" spans="1:42" ht="21.75" customHeight="1">
      <c r="A29" s="111" t="s">
        <v>28</v>
      </c>
      <c r="B29" s="327" t="s">
        <v>29</v>
      </c>
      <c r="C29" s="328"/>
      <c r="D29" s="328"/>
      <c r="E29" s="328"/>
      <c r="F29" s="328"/>
      <c r="G29" s="329"/>
      <c r="H29" s="112" t="s">
        <v>13</v>
      </c>
      <c r="I29" s="319" t="s">
        <v>30</v>
      </c>
      <c r="J29" s="319"/>
      <c r="K29" s="113"/>
      <c r="L29" s="114"/>
      <c r="M29" s="114"/>
      <c r="N29" s="115"/>
      <c r="O29" s="330" t="str">
        <f t="shared" ref="O29:O37" si="21">IF(AI29="","",IF(AI29&lt;&gt;0,VLOOKUP(AI29,$AO$16:$AP$16,2),0))</f>
        <v/>
      </c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2"/>
      <c r="AJ29" s="116"/>
      <c r="AK29" s="117"/>
      <c r="AL29" s="82"/>
      <c r="AO29" s="83">
        <v>0.8</v>
      </c>
      <c r="AP29" s="84" t="s">
        <v>25</v>
      </c>
    </row>
    <row r="30" spans="1:42" ht="21.75" customHeight="1">
      <c r="A30" s="479">
        <v>1</v>
      </c>
      <c r="B30" s="339" t="s">
        <v>31</v>
      </c>
      <c r="C30" s="341"/>
      <c r="D30" s="341"/>
      <c r="E30" s="341"/>
      <c r="F30" s="341"/>
      <c r="G30" s="342"/>
      <c r="H30" s="118">
        <v>1</v>
      </c>
      <c r="I30" s="343" t="s">
        <v>32</v>
      </c>
      <c r="J30" s="344"/>
      <c r="K30" s="119">
        <v>4</v>
      </c>
      <c r="L30" s="114"/>
      <c r="M30" s="114"/>
      <c r="N30" s="115"/>
      <c r="O30" s="120" t="str">
        <f t="shared" si="21"/>
        <v/>
      </c>
      <c r="P30" s="120" t="str">
        <f t="shared" ref="P30:P37" si="22">IF(AI30="","",IF(AI30&gt;=0,VLOOKUP(AI30,$AO$17:$AP$17,2),0))</f>
        <v/>
      </c>
      <c r="Q30" s="120" t="str">
        <f t="shared" ref="Q30:Q37" si="23">IF(AI30="","",IF(AI30&gt;=0,VLOOKUP(AI30,$AO$18:$AP$18,2),0))</f>
        <v/>
      </c>
      <c r="R30" s="120" t="str">
        <f t="shared" ref="R30:R37" si="24">IF(AI30="","",IF(AI30&gt;=0,VLOOKUP(AI30,$AO$19:$AP$19,2),0))</f>
        <v/>
      </c>
      <c r="S30" s="120" t="str">
        <f t="shared" ref="S30:S37" si="25">IF(AI30="","",IF(AI30&gt;=0,VLOOKUP(AI30,$AO$20:$AP$20,2),0))</f>
        <v/>
      </c>
      <c r="T30" s="120" t="str">
        <f t="shared" ref="T30:T37" si="26">IF(AI30="","",IF(AI30&gt;=0,VLOOKUP(AI30,$AO$21:$AP$21,2),0))</f>
        <v/>
      </c>
      <c r="U30" s="120" t="str">
        <f t="shared" ref="U30:U37" si="27">IF(AI30="","",IF(AI30&gt;=0,VLOOKUP(AI30,$AO$22:$AP$22,2),0))</f>
        <v/>
      </c>
      <c r="V30" s="120" t="str">
        <f t="shared" ref="V30:V37" si="28">IF(AI30="","",IF(AI30&gt;=0,VLOOKUP(AI30,$AO$23:$AP$23,2),0))</f>
        <v/>
      </c>
      <c r="W30" s="120" t="str">
        <f t="shared" ref="W30:W37" si="29">IF(AI30="","",IF(AI30&gt;=0,VLOOKUP(AI30,$AO$24:$AP$24,2),0))</f>
        <v/>
      </c>
      <c r="X30" s="120" t="str">
        <f t="shared" ref="X30:X37" si="30">IF(AI30="","",IF(AI30&gt;=0,VLOOKUP(AI30,$AO$25:$AP$25,2),0))</f>
        <v/>
      </c>
      <c r="Y30" s="120" t="str">
        <f t="shared" ref="Y30:Y37" si="31">IF(AI30="","",IF(AI30&gt;=0,VLOOKUP(AI30,$AO$26:$AP$26,2),0))</f>
        <v/>
      </c>
      <c r="Z30" s="120" t="str">
        <f t="shared" ref="Z30:Z37" si="32">IF(AI30="","",IF(AI30&gt;=0,VLOOKUP(AI30,$AO$27:$AP$27,2),0))</f>
        <v/>
      </c>
      <c r="AA30" s="120" t="str">
        <f>IF(AI30="","",IF(AI30&gt;=0,VLOOKUP(AI30,$AO$59:$AP$59,2),0))</f>
        <v/>
      </c>
      <c r="AB30" s="120" t="str">
        <f>IF(AI30="","",IF(AI30&gt;=0,VLOOKUP(AI30,$AO$59:$AP$59,2),0))</f>
        <v/>
      </c>
      <c r="AC30" s="120" t="str">
        <f>IF(AI30="","",IF(AI30&gt;=0,VLOOKUP(AI30,$AO$61:$AP$61,2),0))</f>
        <v/>
      </c>
      <c r="AD30" s="120" t="str">
        <f>IF(AI30="","",IF(AI30&gt;=0,VLOOKUP(AI30,$AO$62:$AP$62,2),0))</f>
        <v/>
      </c>
      <c r="AE30" s="120" t="str">
        <f>IF(AI30="","",IF(AI30&gt;=0,VLOOKUP(AI30,$AO$63:$AP$63,2),0))</f>
        <v/>
      </c>
      <c r="AF30" s="120" t="str">
        <f>IF(AI30="","",IF(AI30&gt;=0,VLOOKUP(AI30,$AO$64:$AP$64,2),0))</f>
        <v/>
      </c>
      <c r="AG30" s="120" t="str">
        <f>IF(AI30="","",IF(AI30&gt;=0,VLOOKUP(AI30,$AO$65:$AP$65,2),0))</f>
        <v/>
      </c>
      <c r="AH30" s="120" t="str">
        <f>IF(AI30="","",IF(AI30&gt;=0,VLOOKUP(AI30,$AO$66:$AP$66,2),0))</f>
        <v/>
      </c>
      <c r="AI30" s="121"/>
      <c r="AJ30" s="122"/>
      <c r="AK30" s="117"/>
      <c r="AL30" s="82"/>
      <c r="AO30" s="83"/>
      <c r="AP30" s="84"/>
    </row>
    <row r="31" spans="1:42" ht="21.75" customHeight="1">
      <c r="A31" s="480"/>
      <c r="B31" s="340"/>
      <c r="C31" s="341"/>
      <c r="D31" s="341"/>
      <c r="E31" s="341"/>
      <c r="F31" s="341"/>
      <c r="G31" s="342"/>
      <c r="H31" s="118">
        <v>2</v>
      </c>
      <c r="I31" s="343" t="s">
        <v>79</v>
      </c>
      <c r="J31" s="344"/>
      <c r="K31" s="119"/>
      <c r="L31" s="114"/>
      <c r="M31" s="114"/>
      <c r="N31" s="115"/>
      <c r="O31" s="120" t="str">
        <f t="shared" si="21"/>
        <v/>
      </c>
      <c r="P31" s="120" t="str">
        <f t="shared" si="22"/>
        <v/>
      </c>
      <c r="Q31" s="120" t="str">
        <f t="shared" si="23"/>
        <v/>
      </c>
      <c r="R31" s="120" t="str">
        <f t="shared" si="24"/>
        <v/>
      </c>
      <c r="S31" s="120" t="str">
        <f t="shared" si="25"/>
        <v/>
      </c>
      <c r="T31" s="120" t="str">
        <f t="shared" si="26"/>
        <v/>
      </c>
      <c r="U31" s="120" t="str">
        <f t="shared" si="27"/>
        <v/>
      </c>
      <c r="V31" s="120" t="str">
        <f t="shared" si="28"/>
        <v/>
      </c>
      <c r="W31" s="120" t="str">
        <f t="shared" si="29"/>
        <v/>
      </c>
      <c r="X31" s="120" t="str">
        <f t="shared" si="30"/>
        <v/>
      </c>
      <c r="Y31" s="120" t="str">
        <f t="shared" si="31"/>
        <v/>
      </c>
      <c r="Z31" s="120" t="str">
        <f t="shared" si="32"/>
        <v/>
      </c>
      <c r="AA31" s="120" t="str">
        <f>IF(AI31="","",IF(AI31&gt;=0,VLOOKUP(AI31,$AO$59:$AP$59,2),0))</f>
        <v/>
      </c>
      <c r="AB31" s="120" t="str">
        <f>IF(AI31="","",IF(AI31&gt;=0,VLOOKUP(AI31,$AO$59:$AP$59,2),0))</f>
        <v/>
      </c>
      <c r="AC31" s="120" t="str">
        <f>IF(AI31="","",IF(AI31&gt;=0,VLOOKUP(AI31,$AO$61:$AP$61,2),0))</f>
        <v/>
      </c>
      <c r="AD31" s="120" t="str">
        <f>IF(AI31="","",IF(AI31&gt;=0,VLOOKUP(AI31,$AO$62:$AP$62,2),0))</f>
        <v/>
      </c>
      <c r="AE31" s="120" t="str">
        <f>IF(AI31="","",IF(AI31&gt;=0,VLOOKUP(AI31,$AO$63:$AP$63,2),0))</f>
        <v/>
      </c>
      <c r="AF31" s="120" t="str">
        <f>IF(AI31="","",IF(AI31&gt;=0,VLOOKUP(AI31,$AO$64:$AP$64,2),0))</f>
        <v/>
      </c>
      <c r="AG31" s="120" t="str">
        <f>IF(AI31="","",IF(AI31&gt;=0,VLOOKUP(AI31,$AO$65:$AP$65,2),0))</f>
        <v/>
      </c>
      <c r="AH31" s="120" t="str">
        <f>IF(AI31="","",IF(AI31&gt;=0,VLOOKUP(AI31,$AO$66:$AP$66,2),0))</f>
        <v/>
      </c>
      <c r="AI31" s="121"/>
      <c r="AJ31" s="122"/>
      <c r="AK31" s="117"/>
      <c r="AL31" s="82"/>
      <c r="AO31" s="83"/>
      <c r="AP31" s="84"/>
    </row>
    <row r="32" spans="1:42" ht="21.75" customHeight="1">
      <c r="A32" s="479">
        <v>2</v>
      </c>
      <c r="B32" s="339" t="s">
        <v>80</v>
      </c>
      <c r="C32" s="481" t="s">
        <v>84</v>
      </c>
      <c r="D32" s="482"/>
      <c r="E32" s="482"/>
      <c r="F32" s="482"/>
      <c r="G32" s="483"/>
      <c r="H32" s="118">
        <v>1</v>
      </c>
      <c r="I32" s="343" t="s">
        <v>81</v>
      </c>
      <c r="J32" s="344"/>
      <c r="K32" s="119"/>
      <c r="L32" s="114"/>
      <c r="M32" s="114"/>
      <c r="N32" s="115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1"/>
      <c r="AJ32" s="122"/>
      <c r="AK32" s="117"/>
      <c r="AL32" s="82"/>
      <c r="AO32" s="83"/>
      <c r="AP32" s="84"/>
    </row>
    <row r="33" spans="1:42" ht="21.75" customHeight="1">
      <c r="A33" s="480"/>
      <c r="B33" s="340"/>
      <c r="C33" s="481" t="s">
        <v>84</v>
      </c>
      <c r="D33" s="482"/>
      <c r="E33" s="482"/>
      <c r="F33" s="482"/>
      <c r="G33" s="483"/>
      <c r="H33" s="118">
        <v>2</v>
      </c>
      <c r="I33" s="343" t="s">
        <v>82</v>
      </c>
      <c r="J33" s="344"/>
      <c r="K33" s="119"/>
      <c r="L33" s="114"/>
      <c r="M33" s="114"/>
      <c r="N33" s="115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1"/>
      <c r="AJ33" s="122"/>
      <c r="AK33" s="117"/>
      <c r="AL33" s="82"/>
      <c r="AO33" s="83"/>
      <c r="AP33" s="84"/>
    </row>
    <row r="34" spans="1:42" ht="37.5">
      <c r="A34" s="476">
        <v>3</v>
      </c>
      <c r="B34" s="339" t="s">
        <v>78</v>
      </c>
      <c r="C34" s="334" t="s">
        <v>84</v>
      </c>
      <c r="D34" s="335"/>
      <c r="E34" s="335"/>
      <c r="F34" s="335"/>
      <c r="G34" s="336"/>
      <c r="H34" s="123">
        <v>1</v>
      </c>
      <c r="I34" s="347" t="s">
        <v>83</v>
      </c>
      <c r="J34" s="348"/>
      <c r="K34" s="119"/>
      <c r="L34" s="124">
        <v>44341</v>
      </c>
      <c r="M34" s="124"/>
      <c r="N34" s="125"/>
      <c r="O34" s="120">
        <f t="shared" si="21"/>
        <v>0</v>
      </c>
      <c r="P34" s="120" t="e">
        <f t="shared" si="22"/>
        <v>#N/A</v>
      </c>
      <c r="Q34" s="120" t="e">
        <f t="shared" si="23"/>
        <v>#N/A</v>
      </c>
      <c r="R34" s="120" t="e">
        <f t="shared" si="24"/>
        <v>#N/A</v>
      </c>
      <c r="S34" s="120" t="e">
        <f t="shared" si="25"/>
        <v>#N/A</v>
      </c>
      <c r="T34" s="120" t="e">
        <f t="shared" si="26"/>
        <v>#N/A</v>
      </c>
      <c r="U34" s="120" t="e">
        <f t="shared" si="27"/>
        <v>#N/A</v>
      </c>
      <c r="V34" s="120" t="e">
        <f t="shared" si="28"/>
        <v>#N/A</v>
      </c>
      <c r="W34" s="120" t="e">
        <f t="shared" si="29"/>
        <v>#N/A</v>
      </c>
      <c r="X34" s="120" t="e">
        <f t="shared" si="30"/>
        <v>#N/A</v>
      </c>
      <c r="Y34" s="120" t="e">
        <f t="shared" si="31"/>
        <v>#N/A</v>
      </c>
      <c r="Z34" s="120" t="e">
        <f t="shared" si="32"/>
        <v>#N/A</v>
      </c>
      <c r="AA34" s="120" t="e">
        <f>IF(AI34="","",IF(AI34&gt;=0,VLOOKUP(AI34,$AO$59:$AP$59,2),0))</f>
        <v>#N/A</v>
      </c>
      <c r="AB34" s="120" t="e">
        <f>IF(AI34="","",IF(AI34&gt;=0,VLOOKUP(AI34,$AO$59:$AP$59,2),0))</f>
        <v>#N/A</v>
      </c>
      <c r="AC34" s="120" t="e">
        <f>IF(AI34="","",IF(AI34&gt;=0,VLOOKUP(AI34,$AO$61:$AP$61,2),0))</f>
        <v>#N/A</v>
      </c>
      <c r="AD34" s="120" t="e">
        <f>IF(AI34="","",IF(AI34&gt;=0,VLOOKUP(AI34,$AO$62:$AP$62,2),0))</f>
        <v>#N/A</v>
      </c>
      <c r="AE34" s="120" t="e">
        <f>IF(AI34="","",IF(AI34&gt;=0,VLOOKUP(AI34,$AO$63:$AP$63,2),0))</f>
        <v>#N/A</v>
      </c>
      <c r="AF34" s="120" t="e">
        <f>IF(AI34="","",IF(AI34&gt;=0,VLOOKUP(AI34,$AO$64:$AP$64,2),0))</f>
        <v>#N/A</v>
      </c>
      <c r="AG34" s="120" t="e">
        <f>IF(AI34="","",IF(AI34&gt;=0,VLOOKUP(AI34,$AO$65:$AP$65,2),0))</f>
        <v>#N/A</v>
      </c>
      <c r="AH34" s="120" t="e">
        <f>IF(AI34="","",IF(AI34&gt;=0,VLOOKUP(AI34,$AO$66:$AP$66,2),0))</f>
        <v>#N/A</v>
      </c>
      <c r="AI34" s="121">
        <v>0</v>
      </c>
      <c r="AJ34" s="126"/>
      <c r="AK34" s="127"/>
      <c r="AL34" s="82">
        <v>0</v>
      </c>
      <c r="AO34" s="83">
        <v>0.85</v>
      </c>
      <c r="AP34" s="84" t="s">
        <v>25</v>
      </c>
    </row>
    <row r="35" spans="1:42" ht="37.5" customHeight="1">
      <c r="A35" s="477"/>
      <c r="B35" s="345"/>
      <c r="C35" s="334"/>
      <c r="D35" s="335"/>
      <c r="E35" s="335"/>
      <c r="F35" s="335"/>
      <c r="G35" s="336"/>
      <c r="H35" s="123"/>
      <c r="I35" s="333"/>
      <c r="J35" s="333"/>
      <c r="K35" s="119"/>
      <c r="L35" s="124"/>
      <c r="M35" s="124"/>
      <c r="N35" s="125"/>
      <c r="O35" s="120" t="str">
        <f t="shared" si="21"/>
        <v/>
      </c>
      <c r="P35" s="120" t="str">
        <f t="shared" si="22"/>
        <v/>
      </c>
      <c r="Q35" s="120" t="str">
        <f t="shared" si="23"/>
        <v/>
      </c>
      <c r="R35" s="120" t="str">
        <f t="shared" si="24"/>
        <v/>
      </c>
      <c r="S35" s="120" t="str">
        <f t="shared" si="25"/>
        <v/>
      </c>
      <c r="T35" s="120" t="str">
        <f t="shared" si="26"/>
        <v/>
      </c>
      <c r="U35" s="120" t="str">
        <f t="shared" si="27"/>
        <v/>
      </c>
      <c r="V35" s="120" t="str">
        <f t="shared" si="28"/>
        <v/>
      </c>
      <c r="W35" s="120" t="str">
        <f t="shared" si="29"/>
        <v/>
      </c>
      <c r="X35" s="120" t="str">
        <f t="shared" si="30"/>
        <v/>
      </c>
      <c r="Y35" s="120" t="str">
        <f t="shared" si="31"/>
        <v/>
      </c>
      <c r="Z35" s="120" t="str">
        <f t="shared" si="32"/>
        <v/>
      </c>
      <c r="AA35" s="120" t="str">
        <f>IF(AI35="","",IF(AI35&gt;=0,VLOOKUP(AI35,$AO$59:$AP$59,2),0))</f>
        <v/>
      </c>
      <c r="AB35" s="120" t="str">
        <f>IF(AI35="","",IF(AI35&gt;=0,VLOOKUP(AI35,$AO$59:$AP$59,2),0))</f>
        <v/>
      </c>
      <c r="AC35" s="120" t="str">
        <f>IF(AI35="","",IF(AI35&gt;=0,VLOOKUP(AI35,$AO$61:$AP$61,2),0))</f>
        <v/>
      </c>
      <c r="AD35" s="120" t="str">
        <f>IF(AI35="","",IF(AI35&gt;=0,VLOOKUP(AI35,$AO$62:$AP$62,2),0))</f>
        <v/>
      </c>
      <c r="AE35" s="120" t="str">
        <f>IF(AI35="","",IF(AI35&gt;=0,VLOOKUP(AI35,$AO$63:$AP$63,2),0))</f>
        <v/>
      </c>
      <c r="AF35" s="120" t="str">
        <f>IF(AI35="","",IF(AI35&gt;=0,VLOOKUP(AI35,$AO$64:$AP$64,2),0))</f>
        <v/>
      </c>
      <c r="AG35" s="120" t="str">
        <f>IF(AI35="","",IF(AI35&gt;=0,VLOOKUP(AI35,$AO$65:$AP$65,2),0))</f>
        <v/>
      </c>
      <c r="AH35" s="120" t="str">
        <f>IF(AI35="","",IF(AI35&gt;=0,VLOOKUP(AI35,$AO$66:$AP$66,2),0))</f>
        <v/>
      </c>
      <c r="AI35" s="121"/>
      <c r="AJ35" s="126"/>
      <c r="AK35" s="127"/>
      <c r="AL35" s="82"/>
      <c r="AO35" s="83"/>
      <c r="AP35" s="84"/>
    </row>
    <row r="36" spans="1:42" ht="37.5" customHeight="1">
      <c r="A36" s="477"/>
      <c r="B36" s="345"/>
      <c r="C36" s="334"/>
      <c r="D36" s="335"/>
      <c r="E36" s="335"/>
      <c r="F36" s="335"/>
      <c r="G36" s="336"/>
      <c r="H36" s="123"/>
      <c r="I36" s="333"/>
      <c r="J36" s="333"/>
      <c r="K36" s="119"/>
      <c r="L36" s="124"/>
      <c r="M36" s="124"/>
      <c r="N36" s="125"/>
      <c r="O36" s="120" t="str">
        <f t="shared" si="21"/>
        <v/>
      </c>
      <c r="P36" s="120" t="str">
        <f t="shared" si="22"/>
        <v/>
      </c>
      <c r="Q36" s="120" t="str">
        <f t="shared" si="23"/>
        <v/>
      </c>
      <c r="R36" s="120" t="str">
        <f t="shared" si="24"/>
        <v/>
      </c>
      <c r="S36" s="120" t="str">
        <f t="shared" si="25"/>
        <v/>
      </c>
      <c r="T36" s="120" t="str">
        <f t="shared" si="26"/>
        <v/>
      </c>
      <c r="U36" s="120" t="str">
        <f t="shared" si="27"/>
        <v/>
      </c>
      <c r="V36" s="120" t="str">
        <f t="shared" si="28"/>
        <v/>
      </c>
      <c r="W36" s="120" t="str">
        <f t="shared" si="29"/>
        <v/>
      </c>
      <c r="X36" s="120" t="str">
        <f t="shared" si="30"/>
        <v/>
      </c>
      <c r="Y36" s="120" t="str">
        <f t="shared" si="31"/>
        <v/>
      </c>
      <c r="Z36" s="120" t="str">
        <f t="shared" si="32"/>
        <v/>
      </c>
      <c r="AA36" s="120" t="str">
        <f>IF(AI36="","",IF(AI36&gt;=0,VLOOKUP(AI36,$AO$59:$AP$59,2),0))</f>
        <v/>
      </c>
      <c r="AB36" s="120" t="str">
        <f>IF(AI36="","",IF(AI36&gt;=0,VLOOKUP(AI36,$AO$59:$AP$59,2),0))</f>
        <v/>
      </c>
      <c r="AC36" s="120" t="str">
        <f>IF(AI36="","",IF(AI36&gt;=0,VLOOKUP(AI36,$AO$61:$AP$61,2),0))</f>
        <v/>
      </c>
      <c r="AD36" s="120" t="str">
        <f>IF(AI36="","",IF(AI36&gt;=0,VLOOKUP(AI36,$AO$62:$AP$62,2),0))</f>
        <v/>
      </c>
      <c r="AE36" s="120" t="str">
        <f>IF(AI36="","",IF(AI36&gt;=0,VLOOKUP(AI36,$AO$63:$AP$63,2),0))</f>
        <v/>
      </c>
      <c r="AF36" s="120" t="str">
        <f>IF(AI36="","",IF(AI36&gt;=0,VLOOKUP(AI36,$AO$64:$AP$64,2),0))</f>
        <v/>
      </c>
      <c r="AG36" s="120" t="str">
        <f>IF(AI36="","",IF(AI36&gt;=0,VLOOKUP(AI36,$AO$65:$AP$65,2),0))</f>
        <v/>
      </c>
      <c r="AH36" s="120" t="str">
        <f>IF(AI36="","",IF(AI36&gt;=0,VLOOKUP(AI36,$AO$66:$AP$66,2),0))</f>
        <v/>
      </c>
      <c r="AI36" s="121"/>
      <c r="AJ36" s="126"/>
      <c r="AK36" s="127"/>
      <c r="AL36" s="82"/>
      <c r="AO36" s="83"/>
      <c r="AP36" s="84"/>
    </row>
    <row r="37" spans="1:42" ht="37.5" customHeight="1">
      <c r="A37" s="478"/>
      <c r="B37" s="346"/>
      <c r="C37" s="334"/>
      <c r="D37" s="337"/>
      <c r="E37" s="337"/>
      <c r="F37" s="337"/>
      <c r="G37" s="338"/>
      <c r="H37" s="123"/>
      <c r="I37" s="333"/>
      <c r="J37" s="333"/>
      <c r="K37" s="119"/>
      <c r="L37" s="124"/>
      <c r="M37" s="124"/>
      <c r="N37" s="125"/>
      <c r="O37" s="120" t="str">
        <f t="shared" si="21"/>
        <v/>
      </c>
      <c r="P37" s="120" t="str">
        <f t="shared" si="22"/>
        <v/>
      </c>
      <c r="Q37" s="120" t="str">
        <f t="shared" si="23"/>
        <v/>
      </c>
      <c r="R37" s="120" t="str">
        <f t="shared" si="24"/>
        <v/>
      </c>
      <c r="S37" s="120" t="str">
        <f t="shared" si="25"/>
        <v/>
      </c>
      <c r="T37" s="120" t="str">
        <f t="shared" si="26"/>
        <v/>
      </c>
      <c r="U37" s="120" t="str">
        <f t="shared" si="27"/>
        <v/>
      </c>
      <c r="V37" s="120" t="str">
        <f t="shared" si="28"/>
        <v/>
      </c>
      <c r="W37" s="120" t="str">
        <f t="shared" si="29"/>
        <v/>
      </c>
      <c r="X37" s="120" t="str">
        <f t="shared" si="30"/>
        <v/>
      </c>
      <c r="Y37" s="120" t="str">
        <f t="shared" si="31"/>
        <v/>
      </c>
      <c r="Z37" s="120" t="str">
        <f t="shared" si="32"/>
        <v/>
      </c>
      <c r="AA37" s="120" t="str">
        <f>IF(AI37="","",IF(AI37&gt;=0,VLOOKUP(AI37,$AO$59:$AP$59,2),0))</f>
        <v/>
      </c>
      <c r="AB37" s="120" t="str">
        <f>IF(AI37="","",IF(AI37&gt;=0,VLOOKUP(AI37,$AO$59:$AP$59,2),0))</f>
        <v/>
      </c>
      <c r="AC37" s="120" t="str">
        <f>IF(AI37="","",IF(AI37&gt;=0,VLOOKUP(AI37,$AO$61:$AP$61,2),0))</f>
        <v/>
      </c>
      <c r="AD37" s="120" t="str">
        <f>IF(AI37="","",IF(AI37&gt;=0,VLOOKUP(AI37,$AO$62:$AP$62,2),0))</f>
        <v/>
      </c>
      <c r="AE37" s="120" t="str">
        <f>IF(AI37="","",IF(AI37&gt;=0,VLOOKUP(AI37,$AO$63:$AP$63,2),0))</f>
        <v/>
      </c>
      <c r="AF37" s="120" t="str">
        <f>IF(AI37="","",IF(AI37&gt;=0,VLOOKUP(AI37,$AO$64:$AP$64,2),0))</f>
        <v/>
      </c>
      <c r="AG37" s="120" t="str">
        <f>IF(AI37="","",IF(AI37&gt;=0,VLOOKUP(AI37,$AO$65:$AP$65,2),0))</f>
        <v/>
      </c>
      <c r="AH37" s="120" t="str">
        <f>IF(AI37="","",IF(AI37&gt;=0,VLOOKUP(AI37,$AO$66:$AP$66,2),0))</f>
        <v/>
      </c>
      <c r="AI37" s="121"/>
      <c r="AJ37" s="126"/>
      <c r="AK37" s="127"/>
      <c r="AL37" s="82"/>
      <c r="AO37" s="83"/>
      <c r="AP37" s="84"/>
    </row>
    <row r="38" spans="1:42" ht="24.75" customHeight="1">
      <c r="A38" s="128"/>
      <c r="B38" s="129"/>
      <c r="C38" s="359"/>
      <c r="D38" s="360"/>
      <c r="E38" s="360"/>
      <c r="F38" s="360"/>
      <c r="G38" s="361"/>
      <c r="H38" s="130" t="s">
        <v>33</v>
      </c>
      <c r="I38" s="131"/>
      <c r="J38" s="132"/>
      <c r="K38" s="133">
        <f>SUM(K30:K37)</f>
        <v>4</v>
      </c>
      <c r="L38" s="134"/>
      <c r="M38" s="135"/>
      <c r="N38" s="136"/>
      <c r="O38" s="137"/>
      <c r="P38" s="138"/>
      <c r="Q38" s="138"/>
      <c r="R38" s="138"/>
      <c r="S38" s="349"/>
      <c r="T38" s="349"/>
      <c r="U38" s="138"/>
      <c r="V38" s="138"/>
      <c r="W38" s="138"/>
      <c r="X38" s="138"/>
      <c r="Y38" s="349"/>
      <c r="Z38" s="349"/>
      <c r="AA38" s="266"/>
      <c r="AB38" s="266"/>
      <c r="AC38" s="266"/>
      <c r="AD38" s="138"/>
      <c r="AE38" s="349"/>
      <c r="AF38" s="349"/>
      <c r="AG38" s="138"/>
      <c r="AH38" s="138"/>
      <c r="AI38" s="140"/>
      <c r="AJ38" s="141"/>
      <c r="AK38" s="127"/>
      <c r="AL38" s="82"/>
      <c r="AO38" s="83"/>
      <c r="AP38" s="84"/>
    </row>
    <row r="39" spans="1:42" ht="15.75" customHeight="1">
      <c r="A39" s="142"/>
      <c r="B39" s="143"/>
      <c r="C39" s="350"/>
      <c r="D39" s="351"/>
      <c r="E39" s="351"/>
      <c r="F39" s="351"/>
      <c r="G39" s="352"/>
      <c r="H39" s="144"/>
      <c r="I39" s="144"/>
      <c r="J39" s="144"/>
      <c r="K39" s="144"/>
      <c r="L39" s="145"/>
      <c r="M39" s="145"/>
      <c r="N39" s="146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7"/>
      <c r="AJ39" s="148"/>
      <c r="AK39" s="127"/>
      <c r="AL39" s="82"/>
      <c r="AO39" s="83"/>
      <c r="AP39" s="84"/>
    </row>
    <row r="40" spans="1:42" s="152" customFormat="1" ht="33.75" customHeight="1">
      <c r="A40" s="353" t="s">
        <v>13</v>
      </c>
      <c r="B40" s="354" t="s">
        <v>34</v>
      </c>
      <c r="C40" s="354" t="s">
        <v>35</v>
      </c>
      <c r="D40" s="354"/>
      <c r="E40" s="354"/>
      <c r="F40" s="354"/>
      <c r="G40" s="354"/>
      <c r="H40" s="149" t="s">
        <v>36</v>
      </c>
      <c r="I40" s="149"/>
      <c r="J40" s="149"/>
      <c r="K40" s="149"/>
      <c r="L40" s="149"/>
      <c r="M40" s="149"/>
      <c r="N40" s="44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50"/>
      <c r="AL40" s="151"/>
      <c r="AO40" s="153"/>
      <c r="AP40" s="154"/>
    </row>
    <row r="41" spans="1:42" s="158" customFormat="1" ht="39" customHeight="1">
      <c r="A41" s="353"/>
      <c r="B41" s="354"/>
      <c r="C41" s="354"/>
      <c r="D41" s="354"/>
      <c r="E41" s="354"/>
      <c r="F41" s="354"/>
      <c r="G41" s="354"/>
      <c r="H41" s="355" t="s">
        <v>37</v>
      </c>
      <c r="I41" s="355"/>
      <c r="J41" s="355"/>
      <c r="K41" s="355"/>
      <c r="L41" s="356" t="s">
        <v>38</v>
      </c>
      <c r="M41" s="356" t="s">
        <v>39</v>
      </c>
      <c r="N41" s="357" t="s">
        <v>40</v>
      </c>
      <c r="O41" s="355" t="s">
        <v>41</v>
      </c>
      <c r="P41" s="355"/>
      <c r="Q41" s="355"/>
      <c r="R41" s="355"/>
      <c r="S41" s="355"/>
      <c r="T41" s="355"/>
      <c r="U41" s="355"/>
      <c r="V41" s="355"/>
      <c r="W41" s="355"/>
      <c r="X41" s="355"/>
      <c r="Y41" s="355"/>
      <c r="Z41" s="355"/>
      <c r="AA41" s="355"/>
      <c r="AB41" s="355"/>
      <c r="AC41" s="355"/>
      <c r="AD41" s="355"/>
      <c r="AE41" s="355"/>
      <c r="AF41" s="355"/>
      <c r="AG41" s="355"/>
      <c r="AH41" s="355"/>
      <c r="AI41" s="355"/>
      <c r="AJ41" s="155"/>
      <c r="AK41" s="156"/>
      <c r="AL41" s="157"/>
      <c r="AO41" s="159"/>
      <c r="AP41" s="160"/>
    </row>
    <row r="42" spans="1:42" s="158" customFormat="1" ht="22.5" customHeight="1">
      <c r="A42" s="353"/>
      <c r="B42" s="354"/>
      <c r="C42" s="354"/>
      <c r="D42" s="354"/>
      <c r="E42" s="354"/>
      <c r="F42" s="354"/>
      <c r="G42" s="354"/>
      <c r="H42" s="355"/>
      <c r="I42" s="355"/>
      <c r="J42" s="355"/>
      <c r="K42" s="355"/>
      <c r="L42" s="356"/>
      <c r="M42" s="356"/>
      <c r="N42" s="358"/>
      <c r="O42" s="161"/>
      <c r="P42" s="355">
        <v>10</v>
      </c>
      <c r="Q42" s="355"/>
      <c r="R42" s="355">
        <v>20</v>
      </c>
      <c r="S42" s="355"/>
      <c r="T42" s="355">
        <v>30</v>
      </c>
      <c r="U42" s="355"/>
      <c r="V42" s="355">
        <v>40</v>
      </c>
      <c r="W42" s="355"/>
      <c r="X42" s="355">
        <v>50</v>
      </c>
      <c r="Y42" s="355"/>
      <c r="Z42" s="355">
        <v>60</v>
      </c>
      <c r="AA42" s="355"/>
      <c r="AB42" s="355">
        <v>70</v>
      </c>
      <c r="AC42" s="355"/>
      <c r="AD42" s="355">
        <v>80</v>
      </c>
      <c r="AE42" s="355"/>
      <c r="AF42" s="355">
        <v>90</v>
      </c>
      <c r="AG42" s="355"/>
      <c r="AH42" s="355">
        <v>100</v>
      </c>
      <c r="AI42" s="355"/>
      <c r="AJ42" s="155"/>
      <c r="AK42" s="156"/>
      <c r="AL42" s="157"/>
      <c r="AO42" s="159"/>
      <c r="AP42" s="160"/>
    </row>
    <row r="43" spans="1:42" ht="16.5" customHeight="1">
      <c r="A43" s="162">
        <v>1</v>
      </c>
      <c r="B43" s="163"/>
      <c r="C43" s="362"/>
      <c r="D43" s="363"/>
      <c r="E43" s="363"/>
      <c r="F43" s="363"/>
      <c r="G43" s="364"/>
      <c r="H43" s="164">
        <v>1</v>
      </c>
      <c r="I43" s="365" t="s">
        <v>42</v>
      </c>
      <c r="J43" s="366"/>
      <c r="K43" s="367"/>
      <c r="L43" s="165"/>
      <c r="M43" s="165"/>
      <c r="N43" s="166"/>
      <c r="O43" s="167">
        <f>IF(AI43="","",IF(AI43&lt;&gt;0,VLOOKUP(AI43,$AO$16:$AP$16,2),0))</f>
        <v>0</v>
      </c>
      <c r="P43" s="168" t="e">
        <f>IF(AI43="","",IF(AI43&gt;=0,VLOOKUP(AI43,$AO$17:$AP$17,2),0))</f>
        <v>#N/A</v>
      </c>
      <c r="Q43" s="168" t="e">
        <f>IF(AI43="","",IF(AI43&gt;=0,VLOOKUP(AI43,$AO$18:$AP$18,2),0))</f>
        <v>#N/A</v>
      </c>
      <c r="R43" s="168" t="e">
        <f>IF(AI43="","",IF(AI43&gt;=0,VLOOKUP(AI43,$AO$19:$AP$19,2),0))</f>
        <v>#N/A</v>
      </c>
      <c r="S43" s="168" t="e">
        <f>IF(AI43="","",IF(AI43&gt;=0,VLOOKUP(AI43,$AO$20:$AP$20,2),0))</f>
        <v>#N/A</v>
      </c>
      <c r="T43" s="168" t="e">
        <f>IF(AI43="","",IF(AI43&gt;=0,VLOOKUP(AI43,$AO$21:$AP$21,2),0))</f>
        <v>#N/A</v>
      </c>
      <c r="U43" s="168" t="e">
        <f>IF(AI43="","",IF(AI43&gt;=0,VLOOKUP(AI43,$AO$22:$AP$22,2),0))</f>
        <v>#N/A</v>
      </c>
      <c r="V43" s="168" t="e">
        <f>IF(AI43="","",IF(AI43&gt;=0,VLOOKUP(AI43,$AO$23:$AP$23,2),0))</f>
        <v>#N/A</v>
      </c>
      <c r="W43" s="168" t="e">
        <f>IF(AI43="","",IF(AI43&gt;=0,VLOOKUP(AI43,$AO$24:$AP$24,2),0))</f>
        <v>#N/A</v>
      </c>
      <c r="X43" s="168" t="e">
        <f>IF(AI43="","",IF(AI43&gt;=0,VLOOKUP(AI43,$AO$25:$AP$25,2),0))</f>
        <v>#N/A</v>
      </c>
      <c r="Y43" s="168" t="e">
        <f>IF(AI43="","",IF(AI43&gt;=0,VLOOKUP(AI43,$AO$26:$AP$26,2),0))</f>
        <v>#N/A</v>
      </c>
      <c r="Z43" s="168" t="e">
        <f>IF(AI43="","",IF(AI43&gt;=0,VLOOKUP(AI43,$AO$27:$AP$27,2),0))</f>
        <v>#N/A</v>
      </c>
      <c r="AA43" s="168" t="e">
        <f t="shared" ref="AA43:AA58" si="33">IF(AI43="","",IF(AI43&gt;=0,VLOOKUP(AI43,$AO$59:$AP$59,2),0))</f>
        <v>#N/A</v>
      </c>
      <c r="AB43" s="168" t="e">
        <f t="shared" ref="AB43:AB58" si="34">IF(AI43="","",IF(AI43&gt;=0,VLOOKUP(AI43,$AO$59:$AP$59,2),0))</f>
        <v>#N/A</v>
      </c>
      <c r="AC43" s="168" t="e">
        <f t="shared" ref="AC43:AC58" si="35">IF(AI43="","",IF(AI43&gt;=0,VLOOKUP(AI43,$AO$61:$AP$61,2),0))</f>
        <v>#N/A</v>
      </c>
      <c r="AD43" s="168" t="e">
        <f t="shared" ref="AD43:AD58" si="36">IF(AI43="","",IF(AI43&gt;=0,VLOOKUP(AI43,$AO$62:$AP$62,2),0))</f>
        <v>#N/A</v>
      </c>
      <c r="AE43" s="168" t="e">
        <f t="shared" ref="AE43:AE58" si="37">IF(AI43="","",IF(AI43&gt;=0,VLOOKUP(AI43,$AO$63:$AP$63,2),0))</f>
        <v>#N/A</v>
      </c>
      <c r="AF43" s="168" t="e">
        <f t="shared" ref="AF43:AF58" si="38">IF(AI43="","",IF(AI43&gt;=0,VLOOKUP(AI43,$AO$64:$AP$64,2),0))</f>
        <v>#N/A</v>
      </c>
      <c r="AG43" s="168" t="e">
        <f t="shared" ref="AG43:AG58" si="39">IF(AI43="","",IF(AI43&gt;=0,VLOOKUP(AI43,$AO$65:$AP$65,2),0))</f>
        <v>#N/A</v>
      </c>
      <c r="AH43" s="168" t="e">
        <f t="shared" ref="AH43:AH58" si="40">IF(AI43="","",IF(AI43&gt;=0,VLOOKUP(AI43,$AO$66:$AP$66,2),0))</f>
        <v>#N/A</v>
      </c>
      <c r="AI43" s="169">
        <v>0</v>
      </c>
      <c r="AJ43" s="170"/>
      <c r="AK43" s="127"/>
      <c r="AL43" s="82">
        <v>0</v>
      </c>
      <c r="AO43" s="83"/>
      <c r="AP43" s="84"/>
    </row>
    <row r="44" spans="1:42" ht="16.5" customHeight="1">
      <c r="A44" s="128">
        <v>2</v>
      </c>
      <c r="B44" s="171"/>
      <c r="C44" s="359"/>
      <c r="D44" s="360"/>
      <c r="E44" s="360"/>
      <c r="F44" s="360"/>
      <c r="G44" s="361"/>
      <c r="H44" s="172">
        <v>2</v>
      </c>
      <c r="I44" s="368" t="s">
        <v>75</v>
      </c>
      <c r="J44" s="369"/>
      <c r="K44" s="370"/>
      <c r="L44" s="173"/>
      <c r="M44" s="173"/>
      <c r="N44" s="174"/>
      <c r="O44" s="175">
        <f t="shared" ref="O44:O56" si="41">IF(AI44="","",IF(AI44&lt;&gt;0,VLOOKUP(AI44,$AO$16:$AP$16,2),0))</f>
        <v>0</v>
      </c>
      <c r="P44" s="176" t="e">
        <f t="shared" ref="P44:P56" si="42">IF(AI44="","",IF(AI44&gt;=0,VLOOKUP(AI44,$AO$17:$AP$17,2),0))</f>
        <v>#N/A</v>
      </c>
      <c r="Q44" s="176" t="e">
        <f t="shared" ref="Q44:Q56" si="43">IF(AI44="","",IF(AI44&gt;=0,VLOOKUP(AI44,$AO$18:$AP$18,2),0))</f>
        <v>#N/A</v>
      </c>
      <c r="R44" s="176" t="e">
        <f t="shared" ref="R44:R56" si="44">IF(AI44="","",IF(AI44&gt;=0,VLOOKUP(AI44,$AO$19:$AP$19,2),0))</f>
        <v>#N/A</v>
      </c>
      <c r="S44" s="176" t="e">
        <f t="shared" ref="S44:S56" si="45">IF(AI44="","",IF(AI44&gt;=0,VLOOKUP(AI44,$AO$20:$AP$20,2),0))</f>
        <v>#N/A</v>
      </c>
      <c r="T44" s="176" t="e">
        <f t="shared" ref="T44:T56" si="46">IF(AI44="","",IF(AI44&gt;=0,VLOOKUP(AI44,$AO$21:$AP$21,2),0))</f>
        <v>#N/A</v>
      </c>
      <c r="U44" s="176" t="e">
        <f t="shared" ref="U44:U56" si="47">IF(AI44="","",IF(AI44&gt;=0,VLOOKUP(AI44,$AO$22:$AP$22,2),0))</f>
        <v>#N/A</v>
      </c>
      <c r="V44" s="176" t="e">
        <f t="shared" ref="V44:V56" si="48">IF(AI44="","",IF(AI44&gt;=0,VLOOKUP(AI44,$AO$23:$AP$23,2),0))</f>
        <v>#N/A</v>
      </c>
      <c r="W44" s="176" t="e">
        <f t="shared" ref="W44:W56" si="49">IF(AI44="","",IF(AI44&gt;=0,VLOOKUP(AI44,$AO$24:$AP$24,2),0))</f>
        <v>#N/A</v>
      </c>
      <c r="X44" s="176" t="e">
        <f t="shared" ref="X44:X56" si="50">IF(AI44="","",IF(AI44&gt;=0,VLOOKUP(AI44,$AO$25:$AP$25,2),0))</f>
        <v>#N/A</v>
      </c>
      <c r="Y44" s="176" t="e">
        <f t="shared" ref="Y44:Y56" si="51">IF(AI44="","",IF(AI44&gt;=0,VLOOKUP(AI44,$AO$26:$AP$26,2),0))</f>
        <v>#N/A</v>
      </c>
      <c r="Z44" s="176" t="e">
        <f t="shared" ref="Z44:Z56" si="52">IF(AI44="","",IF(AI44&gt;=0,VLOOKUP(AI44,$AO$27:$AP$27,2),0))</f>
        <v>#N/A</v>
      </c>
      <c r="AA44" s="176" t="e">
        <f t="shared" si="33"/>
        <v>#N/A</v>
      </c>
      <c r="AB44" s="176" t="e">
        <f t="shared" si="34"/>
        <v>#N/A</v>
      </c>
      <c r="AC44" s="176" t="e">
        <f t="shared" si="35"/>
        <v>#N/A</v>
      </c>
      <c r="AD44" s="176" t="e">
        <f t="shared" si="36"/>
        <v>#N/A</v>
      </c>
      <c r="AE44" s="176" t="e">
        <f t="shared" si="37"/>
        <v>#N/A</v>
      </c>
      <c r="AF44" s="176" t="e">
        <f t="shared" si="38"/>
        <v>#N/A</v>
      </c>
      <c r="AG44" s="176" t="e">
        <f t="shared" si="39"/>
        <v>#N/A</v>
      </c>
      <c r="AH44" s="176" t="e">
        <f t="shared" si="40"/>
        <v>#N/A</v>
      </c>
      <c r="AI44" s="177">
        <v>0</v>
      </c>
      <c r="AJ44" s="178"/>
      <c r="AK44" s="127"/>
      <c r="AL44" s="82">
        <v>100</v>
      </c>
      <c r="AO44" s="83"/>
      <c r="AP44" s="84"/>
    </row>
    <row r="45" spans="1:42" ht="16.5" customHeight="1">
      <c r="A45" s="128">
        <v>3</v>
      </c>
      <c r="B45" s="171"/>
      <c r="C45" s="359"/>
      <c r="D45" s="360"/>
      <c r="E45" s="360"/>
      <c r="F45" s="360"/>
      <c r="G45" s="361"/>
      <c r="H45" s="172">
        <v>3</v>
      </c>
      <c r="I45" s="368" t="s">
        <v>76</v>
      </c>
      <c r="J45" s="369"/>
      <c r="K45" s="370"/>
      <c r="L45" s="179"/>
      <c r="M45" s="179"/>
      <c r="N45" s="180"/>
      <c r="O45" s="175">
        <f>IF(AI45="","",IF(AI45&lt;&gt;0,VLOOKUP(AI45,$AO$16:$AP$16,2),0))</f>
        <v>0</v>
      </c>
      <c r="P45" s="176" t="e">
        <f>IF(AI45="","",IF(AI45&gt;=0,VLOOKUP(AI45,$AO$17:$AP$17,2),0))</f>
        <v>#N/A</v>
      </c>
      <c r="Q45" s="176" t="e">
        <f>IF(AI45="","",IF(AI45&gt;=0,VLOOKUP(AI45,$AO$18:$AP$18,2),0))</f>
        <v>#N/A</v>
      </c>
      <c r="R45" s="176" t="e">
        <f>IF(AI45="","",IF(AI45&gt;=0,VLOOKUP(AI45,$AO$19:$AP$19,2),0))</f>
        <v>#N/A</v>
      </c>
      <c r="S45" s="176" t="e">
        <f>IF(AI45="","",IF(AI45&gt;=0,VLOOKUP(AI45,$AO$20:$AP$20,2),0))</f>
        <v>#N/A</v>
      </c>
      <c r="T45" s="176" t="e">
        <f>IF(AI45="","",IF(AI45&gt;=0,VLOOKUP(AI45,$AO$21:$AP$21,2),0))</f>
        <v>#N/A</v>
      </c>
      <c r="U45" s="176" t="e">
        <f>IF(AI45="","",IF(AI45&gt;=0,VLOOKUP(AI45,$AO$22:$AP$22,2),0))</f>
        <v>#N/A</v>
      </c>
      <c r="V45" s="176" t="e">
        <f>IF(AI45="","",IF(AI45&gt;=0,VLOOKUP(AI45,$AO$23:$AP$23,2),0))</f>
        <v>#N/A</v>
      </c>
      <c r="W45" s="176" t="e">
        <f>IF(AI45="","",IF(AI45&gt;=0,VLOOKUP(AI45,$AO$24:$AP$24,2),0))</f>
        <v>#N/A</v>
      </c>
      <c r="X45" s="176" t="e">
        <f>IF(AI45="","",IF(AI45&gt;=0,VLOOKUP(AI45,$AO$25:$AP$25,2),0))</f>
        <v>#N/A</v>
      </c>
      <c r="Y45" s="176" t="e">
        <f>IF(AI45="","",IF(AI45&gt;=0,VLOOKUP(AI45,$AO$26:$AP$26,2),0))</f>
        <v>#N/A</v>
      </c>
      <c r="Z45" s="176" t="e">
        <f>IF(AI45="","",IF(AI45&gt;=0,VLOOKUP(AI45,$AO$27:$AP$27,2),0))</f>
        <v>#N/A</v>
      </c>
      <c r="AA45" s="176" t="e">
        <f t="shared" si="33"/>
        <v>#N/A</v>
      </c>
      <c r="AB45" s="176" t="e">
        <f t="shared" si="34"/>
        <v>#N/A</v>
      </c>
      <c r="AC45" s="176" t="e">
        <f t="shared" si="35"/>
        <v>#N/A</v>
      </c>
      <c r="AD45" s="176" t="e">
        <f t="shared" si="36"/>
        <v>#N/A</v>
      </c>
      <c r="AE45" s="176" t="e">
        <f t="shared" si="37"/>
        <v>#N/A</v>
      </c>
      <c r="AF45" s="176" t="e">
        <f t="shared" si="38"/>
        <v>#N/A</v>
      </c>
      <c r="AG45" s="176" t="e">
        <f t="shared" si="39"/>
        <v>#N/A</v>
      </c>
      <c r="AH45" s="176" t="e">
        <f t="shared" si="40"/>
        <v>#N/A</v>
      </c>
      <c r="AI45" s="177">
        <v>0</v>
      </c>
      <c r="AJ45" s="178"/>
      <c r="AK45" s="127"/>
      <c r="AL45" s="82">
        <v>100</v>
      </c>
      <c r="AO45" s="83"/>
      <c r="AP45" s="84"/>
    </row>
    <row r="46" spans="1:42" ht="16.5" customHeight="1">
      <c r="A46" s="128">
        <v>4</v>
      </c>
      <c r="B46" s="181"/>
      <c r="C46" s="359"/>
      <c r="D46" s="360"/>
      <c r="E46" s="360"/>
      <c r="F46" s="360"/>
      <c r="G46" s="361"/>
      <c r="H46" s="172">
        <v>4</v>
      </c>
      <c r="I46" s="371" t="s">
        <v>77</v>
      </c>
      <c r="J46" s="372"/>
      <c r="K46" s="373"/>
      <c r="L46" s="182"/>
      <c r="M46" s="182"/>
      <c r="N46" s="183"/>
      <c r="O46" s="175">
        <f>IF(AI46="","",IF(AI46&lt;&gt;0,VLOOKUP(AI46,$AO$16:$AP$16,2),0))</f>
        <v>0</v>
      </c>
      <c r="P46" s="176" t="e">
        <f>IF(AI46="","",IF(AI46&gt;=0,VLOOKUP(AI46,$AO$17:$AP$17,2),0))</f>
        <v>#N/A</v>
      </c>
      <c r="Q46" s="176" t="e">
        <f>IF(AI46="","",IF(AI46&gt;=0,VLOOKUP(AI46,$AO$18:$AP$18,2),0))</f>
        <v>#N/A</v>
      </c>
      <c r="R46" s="176" t="e">
        <f>IF(AI46="","",IF(AI46&gt;=0,VLOOKUP(AI46,$AO$19:$AP$19,2),0))</f>
        <v>#N/A</v>
      </c>
      <c r="S46" s="176" t="e">
        <f>IF(AI46="","",IF(AI46&gt;=0,VLOOKUP(AI46,$AO$20:$AP$20,2),0))</f>
        <v>#N/A</v>
      </c>
      <c r="T46" s="176" t="e">
        <f>IF(AI46="","",IF(AI46&gt;=0,VLOOKUP(AI46,$AO$21:$AP$21,2),0))</f>
        <v>#N/A</v>
      </c>
      <c r="U46" s="176" t="e">
        <f>IF(AI46="","",IF(AI46&gt;=0,VLOOKUP(AI46,$AO$22:$AP$22,2),0))</f>
        <v>#N/A</v>
      </c>
      <c r="V46" s="176" t="e">
        <f>IF(AI46="","",IF(AI46&gt;=0,VLOOKUP(AI46,$AO$23:$AP$23,2),0))</f>
        <v>#N/A</v>
      </c>
      <c r="W46" s="176" t="e">
        <f>IF(AI46="","",IF(AI46&gt;=0,VLOOKUP(AI46,$AO$24:$AP$24,2),0))</f>
        <v>#N/A</v>
      </c>
      <c r="X46" s="176" t="e">
        <f>IF(AI46="","",IF(AI46&gt;=0,VLOOKUP(AI46,$AO$25:$AP$25,2),0))</f>
        <v>#N/A</v>
      </c>
      <c r="Y46" s="176" t="e">
        <f>IF(AI46="","",IF(AI46&gt;=0,VLOOKUP(AI46,$AO$26:$AP$26,2),0))</f>
        <v>#N/A</v>
      </c>
      <c r="Z46" s="176" t="e">
        <f>IF(AI46="","",IF(AI46&gt;=0,VLOOKUP(AI46,$AO$27:$AP$27,2),0))</f>
        <v>#N/A</v>
      </c>
      <c r="AA46" s="176" t="e">
        <f t="shared" si="33"/>
        <v>#N/A</v>
      </c>
      <c r="AB46" s="176" t="e">
        <f t="shared" si="34"/>
        <v>#N/A</v>
      </c>
      <c r="AC46" s="176" t="e">
        <f t="shared" si="35"/>
        <v>#N/A</v>
      </c>
      <c r="AD46" s="176" t="e">
        <f t="shared" si="36"/>
        <v>#N/A</v>
      </c>
      <c r="AE46" s="176" t="e">
        <f t="shared" si="37"/>
        <v>#N/A</v>
      </c>
      <c r="AF46" s="176" t="e">
        <f t="shared" si="38"/>
        <v>#N/A</v>
      </c>
      <c r="AG46" s="176" t="e">
        <f t="shared" si="39"/>
        <v>#N/A</v>
      </c>
      <c r="AH46" s="176" t="e">
        <f t="shared" si="40"/>
        <v>#N/A</v>
      </c>
      <c r="AI46" s="177">
        <v>0</v>
      </c>
      <c r="AJ46" s="178"/>
      <c r="AK46" s="127"/>
      <c r="AL46" s="82">
        <v>0</v>
      </c>
      <c r="AO46" s="83"/>
      <c r="AP46" s="84"/>
    </row>
    <row r="47" spans="1:42" ht="16.5" customHeight="1">
      <c r="A47" s="128">
        <v>5</v>
      </c>
      <c r="B47" s="184"/>
      <c r="C47" s="359"/>
      <c r="D47" s="360"/>
      <c r="E47" s="360"/>
      <c r="F47" s="360"/>
      <c r="G47" s="361"/>
      <c r="H47" s="172">
        <v>5</v>
      </c>
      <c r="I47" s="371"/>
      <c r="J47" s="372"/>
      <c r="K47" s="373"/>
      <c r="L47" s="182"/>
      <c r="M47" s="182"/>
      <c r="N47" s="183"/>
      <c r="O47" s="175">
        <f t="shared" si="41"/>
        <v>0</v>
      </c>
      <c r="P47" s="176" t="e">
        <f t="shared" si="42"/>
        <v>#N/A</v>
      </c>
      <c r="Q47" s="176" t="e">
        <f t="shared" si="43"/>
        <v>#N/A</v>
      </c>
      <c r="R47" s="176" t="e">
        <f t="shared" si="44"/>
        <v>#N/A</v>
      </c>
      <c r="S47" s="176" t="e">
        <f t="shared" si="45"/>
        <v>#N/A</v>
      </c>
      <c r="T47" s="176" t="e">
        <f t="shared" si="46"/>
        <v>#N/A</v>
      </c>
      <c r="U47" s="176" t="e">
        <f t="shared" si="47"/>
        <v>#N/A</v>
      </c>
      <c r="V47" s="176" t="e">
        <f t="shared" si="48"/>
        <v>#N/A</v>
      </c>
      <c r="W47" s="176" t="e">
        <f t="shared" si="49"/>
        <v>#N/A</v>
      </c>
      <c r="X47" s="176" t="e">
        <f t="shared" si="50"/>
        <v>#N/A</v>
      </c>
      <c r="Y47" s="176" t="e">
        <f t="shared" si="51"/>
        <v>#N/A</v>
      </c>
      <c r="Z47" s="176" t="e">
        <f t="shared" si="52"/>
        <v>#N/A</v>
      </c>
      <c r="AA47" s="176" t="e">
        <f t="shared" si="33"/>
        <v>#N/A</v>
      </c>
      <c r="AB47" s="176" t="e">
        <f t="shared" si="34"/>
        <v>#N/A</v>
      </c>
      <c r="AC47" s="176" t="e">
        <f t="shared" si="35"/>
        <v>#N/A</v>
      </c>
      <c r="AD47" s="176" t="e">
        <f t="shared" si="36"/>
        <v>#N/A</v>
      </c>
      <c r="AE47" s="176" t="e">
        <f t="shared" si="37"/>
        <v>#N/A</v>
      </c>
      <c r="AF47" s="176" t="e">
        <f t="shared" si="38"/>
        <v>#N/A</v>
      </c>
      <c r="AG47" s="176" t="e">
        <f t="shared" si="39"/>
        <v>#N/A</v>
      </c>
      <c r="AH47" s="176" t="e">
        <f t="shared" si="40"/>
        <v>#N/A</v>
      </c>
      <c r="AI47" s="177">
        <v>0</v>
      </c>
      <c r="AJ47" s="178"/>
      <c r="AK47" s="127"/>
      <c r="AL47" s="82">
        <v>0</v>
      </c>
      <c r="AO47" s="83"/>
      <c r="AP47" s="84"/>
    </row>
    <row r="48" spans="1:42" ht="16.5" customHeight="1">
      <c r="A48" s="128">
        <v>6</v>
      </c>
      <c r="B48" s="184"/>
      <c r="C48" s="359"/>
      <c r="D48" s="360"/>
      <c r="E48" s="360"/>
      <c r="F48" s="360"/>
      <c r="G48" s="361"/>
      <c r="H48" s="172">
        <v>6</v>
      </c>
      <c r="I48" s="263"/>
      <c r="J48" s="264"/>
      <c r="K48" s="265"/>
      <c r="L48" s="182"/>
      <c r="M48" s="182"/>
      <c r="N48" s="183"/>
      <c r="O48" s="175">
        <f t="shared" si="41"/>
        <v>0</v>
      </c>
      <c r="P48" s="176" t="e">
        <f t="shared" si="42"/>
        <v>#N/A</v>
      </c>
      <c r="Q48" s="176" t="e">
        <f t="shared" si="43"/>
        <v>#N/A</v>
      </c>
      <c r="R48" s="176" t="e">
        <f t="shared" si="44"/>
        <v>#N/A</v>
      </c>
      <c r="S48" s="176" t="e">
        <f t="shared" si="45"/>
        <v>#N/A</v>
      </c>
      <c r="T48" s="176" t="e">
        <f t="shared" si="46"/>
        <v>#N/A</v>
      </c>
      <c r="U48" s="176" t="e">
        <f t="shared" si="47"/>
        <v>#N/A</v>
      </c>
      <c r="V48" s="176" t="e">
        <f t="shared" si="48"/>
        <v>#N/A</v>
      </c>
      <c r="W48" s="176" t="e">
        <f t="shared" si="49"/>
        <v>#N/A</v>
      </c>
      <c r="X48" s="176" t="e">
        <f t="shared" si="50"/>
        <v>#N/A</v>
      </c>
      <c r="Y48" s="176" t="e">
        <f t="shared" si="51"/>
        <v>#N/A</v>
      </c>
      <c r="Z48" s="176" t="e">
        <f t="shared" si="52"/>
        <v>#N/A</v>
      </c>
      <c r="AA48" s="176" t="e">
        <f t="shared" si="33"/>
        <v>#N/A</v>
      </c>
      <c r="AB48" s="176" t="e">
        <f t="shared" si="34"/>
        <v>#N/A</v>
      </c>
      <c r="AC48" s="176" t="e">
        <f t="shared" si="35"/>
        <v>#N/A</v>
      </c>
      <c r="AD48" s="176" t="e">
        <f t="shared" si="36"/>
        <v>#N/A</v>
      </c>
      <c r="AE48" s="176" t="e">
        <f t="shared" si="37"/>
        <v>#N/A</v>
      </c>
      <c r="AF48" s="176" t="e">
        <f t="shared" si="38"/>
        <v>#N/A</v>
      </c>
      <c r="AG48" s="176" t="e">
        <f t="shared" si="39"/>
        <v>#N/A</v>
      </c>
      <c r="AH48" s="176" t="e">
        <f t="shared" si="40"/>
        <v>#N/A</v>
      </c>
      <c r="AI48" s="177">
        <v>0</v>
      </c>
      <c r="AJ48" s="178"/>
      <c r="AK48" s="127"/>
      <c r="AL48" s="82">
        <v>0</v>
      </c>
      <c r="AO48" s="83"/>
      <c r="AP48" s="84"/>
    </row>
    <row r="49" spans="1:42" ht="16.5" customHeight="1">
      <c r="A49" s="128">
        <v>7</v>
      </c>
      <c r="B49" s="184"/>
      <c r="C49" s="359"/>
      <c r="D49" s="360"/>
      <c r="E49" s="360"/>
      <c r="F49" s="360"/>
      <c r="G49" s="361"/>
      <c r="H49" s="172">
        <v>7</v>
      </c>
      <c r="I49" s="263"/>
      <c r="J49" s="264"/>
      <c r="K49" s="265"/>
      <c r="L49" s="182"/>
      <c r="M49" s="182"/>
      <c r="N49" s="183"/>
      <c r="O49" s="175">
        <f t="shared" si="41"/>
        <v>0</v>
      </c>
      <c r="P49" s="176" t="e">
        <f t="shared" si="42"/>
        <v>#N/A</v>
      </c>
      <c r="Q49" s="176" t="e">
        <f t="shared" si="43"/>
        <v>#N/A</v>
      </c>
      <c r="R49" s="176" t="e">
        <f t="shared" si="44"/>
        <v>#N/A</v>
      </c>
      <c r="S49" s="176" t="e">
        <f t="shared" si="45"/>
        <v>#N/A</v>
      </c>
      <c r="T49" s="176" t="e">
        <f t="shared" si="46"/>
        <v>#N/A</v>
      </c>
      <c r="U49" s="176" t="e">
        <f t="shared" si="47"/>
        <v>#N/A</v>
      </c>
      <c r="V49" s="176" t="e">
        <f t="shared" si="48"/>
        <v>#N/A</v>
      </c>
      <c r="W49" s="176" t="e">
        <f t="shared" si="49"/>
        <v>#N/A</v>
      </c>
      <c r="X49" s="176" t="e">
        <f t="shared" si="50"/>
        <v>#N/A</v>
      </c>
      <c r="Y49" s="176" t="e">
        <f t="shared" si="51"/>
        <v>#N/A</v>
      </c>
      <c r="Z49" s="176" t="e">
        <f t="shared" si="52"/>
        <v>#N/A</v>
      </c>
      <c r="AA49" s="176" t="e">
        <f t="shared" si="33"/>
        <v>#N/A</v>
      </c>
      <c r="AB49" s="176" t="e">
        <f t="shared" si="34"/>
        <v>#N/A</v>
      </c>
      <c r="AC49" s="176" t="e">
        <f t="shared" si="35"/>
        <v>#N/A</v>
      </c>
      <c r="AD49" s="176" t="e">
        <f t="shared" si="36"/>
        <v>#N/A</v>
      </c>
      <c r="AE49" s="176" t="e">
        <f t="shared" si="37"/>
        <v>#N/A</v>
      </c>
      <c r="AF49" s="176" t="e">
        <f t="shared" si="38"/>
        <v>#N/A</v>
      </c>
      <c r="AG49" s="176" t="e">
        <f t="shared" si="39"/>
        <v>#N/A</v>
      </c>
      <c r="AH49" s="176" t="e">
        <f t="shared" si="40"/>
        <v>#N/A</v>
      </c>
      <c r="AI49" s="177">
        <v>0</v>
      </c>
      <c r="AJ49" s="178"/>
      <c r="AK49" s="127"/>
      <c r="AL49" s="82">
        <v>0</v>
      </c>
      <c r="AO49" s="83"/>
      <c r="AP49" s="84"/>
    </row>
    <row r="50" spans="1:42" ht="16.5" customHeight="1">
      <c r="A50" s="128">
        <v>8</v>
      </c>
      <c r="B50" s="184"/>
      <c r="C50" s="359"/>
      <c r="D50" s="360"/>
      <c r="E50" s="360"/>
      <c r="F50" s="360"/>
      <c r="G50" s="361"/>
      <c r="H50" s="172">
        <v>8</v>
      </c>
      <c r="I50" s="368"/>
      <c r="J50" s="369"/>
      <c r="K50" s="370"/>
      <c r="L50" s="182"/>
      <c r="M50" s="182"/>
      <c r="N50" s="183"/>
      <c r="O50" s="175">
        <f t="shared" si="41"/>
        <v>0</v>
      </c>
      <c r="P50" s="176" t="e">
        <f t="shared" si="42"/>
        <v>#N/A</v>
      </c>
      <c r="Q50" s="176" t="e">
        <f t="shared" si="43"/>
        <v>#N/A</v>
      </c>
      <c r="R50" s="176" t="e">
        <f t="shared" si="44"/>
        <v>#N/A</v>
      </c>
      <c r="S50" s="176" t="e">
        <f t="shared" si="45"/>
        <v>#N/A</v>
      </c>
      <c r="T50" s="176" t="e">
        <f t="shared" si="46"/>
        <v>#N/A</v>
      </c>
      <c r="U50" s="176" t="e">
        <f t="shared" si="47"/>
        <v>#N/A</v>
      </c>
      <c r="V50" s="176" t="e">
        <f t="shared" si="48"/>
        <v>#N/A</v>
      </c>
      <c r="W50" s="176" t="e">
        <f t="shared" si="49"/>
        <v>#N/A</v>
      </c>
      <c r="X50" s="176" t="e">
        <f t="shared" si="50"/>
        <v>#N/A</v>
      </c>
      <c r="Y50" s="176" t="e">
        <f t="shared" si="51"/>
        <v>#N/A</v>
      </c>
      <c r="Z50" s="176" t="e">
        <f t="shared" si="52"/>
        <v>#N/A</v>
      </c>
      <c r="AA50" s="176" t="e">
        <f t="shared" si="33"/>
        <v>#N/A</v>
      </c>
      <c r="AB50" s="176" t="e">
        <f t="shared" si="34"/>
        <v>#N/A</v>
      </c>
      <c r="AC50" s="176" t="e">
        <f t="shared" si="35"/>
        <v>#N/A</v>
      </c>
      <c r="AD50" s="176" t="e">
        <f t="shared" si="36"/>
        <v>#N/A</v>
      </c>
      <c r="AE50" s="176" t="e">
        <f t="shared" si="37"/>
        <v>#N/A</v>
      </c>
      <c r="AF50" s="176" t="e">
        <f t="shared" si="38"/>
        <v>#N/A</v>
      </c>
      <c r="AG50" s="176" t="e">
        <f t="shared" si="39"/>
        <v>#N/A</v>
      </c>
      <c r="AH50" s="176" t="e">
        <f t="shared" si="40"/>
        <v>#N/A</v>
      </c>
      <c r="AI50" s="177">
        <v>0</v>
      </c>
      <c r="AJ50" s="178"/>
      <c r="AK50" s="127"/>
      <c r="AL50" s="82">
        <v>0</v>
      </c>
      <c r="AO50" s="83"/>
      <c r="AP50" s="84"/>
    </row>
    <row r="51" spans="1:42" ht="16.5" customHeight="1">
      <c r="A51" s="128">
        <v>9</v>
      </c>
      <c r="B51" s="184"/>
      <c r="C51" s="359"/>
      <c r="D51" s="360"/>
      <c r="E51" s="360"/>
      <c r="F51" s="360"/>
      <c r="G51" s="361"/>
      <c r="H51" s="172">
        <v>9</v>
      </c>
      <c r="I51" s="368"/>
      <c r="J51" s="369"/>
      <c r="K51" s="370"/>
      <c r="L51" s="182"/>
      <c r="M51" s="182"/>
      <c r="N51" s="183"/>
      <c r="O51" s="175">
        <f t="shared" si="41"/>
        <v>0</v>
      </c>
      <c r="P51" s="176" t="e">
        <f t="shared" si="42"/>
        <v>#N/A</v>
      </c>
      <c r="Q51" s="176" t="e">
        <f t="shared" si="43"/>
        <v>#N/A</v>
      </c>
      <c r="R51" s="176" t="e">
        <f t="shared" si="44"/>
        <v>#N/A</v>
      </c>
      <c r="S51" s="176" t="e">
        <f t="shared" si="45"/>
        <v>#N/A</v>
      </c>
      <c r="T51" s="176" t="e">
        <f t="shared" si="46"/>
        <v>#N/A</v>
      </c>
      <c r="U51" s="176" t="e">
        <f t="shared" si="47"/>
        <v>#N/A</v>
      </c>
      <c r="V51" s="176" t="e">
        <f t="shared" si="48"/>
        <v>#N/A</v>
      </c>
      <c r="W51" s="176" t="e">
        <f t="shared" si="49"/>
        <v>#N/A</v>
      </c>
      <c r="X51" s="176" t="e">
        <f t="shared" si="50"/>
        <v>#N/A</v>
      </c>
      <c r="Y51" s="176" t="e">
        <f t="shared" si="51"/>
        <v>#N/A</v>
      </c>
      <c r="Z51" s="176" t="e">
        <f t="shared" si="52"/>
        <v>#N/A</v>
      </c>
      <c r="AA51" s="176" t="e">
        <f t="shared" si="33"/>
        <v>#N/A</v>
      </c>
      <c r="AB51" s="176" t="e">
        <f t="shared" si="34"/>
        <v>#N/A</v>
      </c>
      <c r="AC51" s="176" t="e">
        <f t="shared" si="35"/>
        <v>#N/A</v>
      </c>
      <c r="AD51" s="176" t="e">
        <f t="shared" si="36"/>
        <v>#N/A</v>
      </c>
      <c r="AE51" s="176" t="e">
        <f t="shared" si="37"/>
        <v>#N/A</v>
      </c>
      <c r="AF51" s="176" t="e">
        <f t="shared" si="38"/>
        <v>#N/A</v>
      </c>
      <c r="AG51" s="176" t="e">
        <f t="shared" si="39"/>
        <v>#N/A</v>
      </c>
      <c r="AH51" s="176" t="e">
        <f t="shared" si="40"/>
        <v>#N/A</v>
      </c>
      <c r="AI51" s="177">
        <v>0</v>
      </c>
      <c r="AJ51" s="178"/>
      <c r="AK51" s="127"/>
      <c r="AL51" s="82">
        <v>90</v>
      </c>
      <c r="AO51" s="83"/>
      <c r="AP51" s="84"/>
    </row>
    <row r="52" spans="1:42" ht="16.5" customHeight="1">
      <c r="A52" s="128">
        <v>11</v>
      </c>
      <c r="B52" s="184"/>
      <c r="C52" s="359"/>
      <c r="D52" s="360"/>
      <c r="E52" s="360"/>
      <c r="F52" s="360"/>
      <c r="G52" s="361"/>
      <c r="H52" s="172">
        <v>11</v>
      </c>
      <c r="I52" s="188"/>
      <c r="J52" s="189"/>
      <c r="K52" s="190"/>
      <c r="L52" s="191"/>
      <c r="M52" s="182"/>
      <c r="N52" s="183"/>
      <c r="O52" s="175">
        <f t="shared" si="41"/>
        <v>0</v>
      </c>
      <c r="P52" s="176" t="e">
        <f t="shared" si="42"/>
        <v>#N/A</v>
      </c>
      <c r="Q52" s="176" t="e">
        <f t="shared" si="43"/>
        <v>#N/A</v>
      </c>
      <c r="R52" s="176" t="e">
        <f t="shared" si="44"/>
        <v>#N/A</v>
      </c>
      <c r="S52" s="176" t="e">
        <f t="shared" si="45"/>
        <v>#N/A</v>
      </c>
      <c r="T52" s="176" t="e">
        <f t="shared" si="46"/>
        <v>#N/A</v>
      </c>
      <c r="U52" s="176" t="e">
        <f t="shared" si="47"/>
        <v>#N/A</v>
      </c>
      <c r="V52" s="176" t="e">
        <f t="shared" si="48"/>
        <v>#N/A</v>
      </c>
      <c r="W52" s="176" t="e">
        <f t="shared" si="49"/>
        <v>#N/A</v>
      </c>
      <c r="X52" s="176" t="e">
        <f t="shared" si="50"/>
        <v>#N/A</v>
      </c>
      <c r="Y52" s="176" t="e">
        <f t="shared" si="51"/>
        <v>#N/A</v>
      </c>
      <c r="Z52" s="176" t="e">
        <f t="shared" si="52"/>
        <v>#N/A</v>
      </c>
      <c r="AA52" s="176" t="e">
        <f t="shared" si="33"/>
        <v>#N/A</v>
      </c>
      <c r="AB52" s="176" t="e">
        <f t="shared" si="34"/>
        <v>#N/A</v>
      </c>
      <c r="AC52" s="176" t="e">
        <f t="shared" si="35"/>
        <v>#N/A</v>
      </c>
      <c r="AD52" s="176" t="e">
        <f t="shared" si="36"/>
        <v>#N/A</v>
      </c>
      <c r="AE52" s="176" t="e">
        <f t="shared" si="37"/>
        <v>#N/A</v>
      </c>
      <c r="AF52" s="176" t="e">
        <f t="shared" si="38"/>
        <v>#N/A</v>
      </c>
      <c r="AG52" s="176" t="e">
        <f t="shared" si="39"/>
        <v>#N/A</v>
      </c>
      <c r="AH52" s="176" t="e">
        <f t="shared" si="40"/>
        <v>#N/A</v>
      </c>
      <c r="AI52" s="177">
        <v>0</v>
      </c>
      <c r="AJ52" s="178"/>
      <c r="AK52" s="127"/>
      <c r="AL52" s="82">
        <v>0</v>
      </c>
      <c r="AO52" s="83"/>
      <c r="AP52" s="84"/>
    </row>
    <row r="53" spans="1:42" ht="16.5" customHeight="1">
      <c r="A53" s="128">
        <v>12</v>
      </c>
      <c r="B53" s="184"/>
      <c r="C53" s="359"/>
      <c r="D53" s="360"/>
      <c r="E53" s="360"/>
      <c r="F53" s="360"/>
      <c r="G53" s="361"/>
      <c r="H53" s="172">
        <v>12</v>
      </c>
      <c r="I53" s="263"/>
      <c r="J53" s="264"/>
      <c r="K53" s="265"/>
      <c r="L53" s="182"/>
      <c r="M53" s="182"/>
      <c r="N53" s="183"/>
      <c r="O53" s="175">
        <f t="shared" si="41"/>
        <v>0</v>
      </c>
      <c r="P53" s="176" t="e">
        <f t="shared" si="42"/>
        <v>#N/A</v>
      </c>
      <c r="Q53" s="176" t="e">
        <f t="shared" si="43"/>
        <v>#N/A</v>
      </c>
      <c r="R53" s="176" t="e">
        <f t="shared" si="44"/>
        <v>#N/A</v>
      </c>
      <c r="S53" s="176" t="e">
        <f t="shared" si="45"/>
        <v>#N/A</v>
      </c>
      <c r="T53" s="176" t="e">
        <f t="shared" si="46"/>
        <v>#N/A</v>
      </c>
      <c r="U53" s="176" t="e">
        <f t="shared" si="47"/>
        <v>#N/A</v>
      </c>
      <c r="V53" s="176" t="e">
        <f t="shared" si="48"/>
        <v>#N/A</v>
      </c>
      <c r="W53" s="176" t="e">
        <f t="shared" si="49"/>
        <v>#N/A</v>
      </c>
      <c r="X53" s="176" t="e">
        <f t="shared" si="50"/>
        <v>#N/A</v>
      </c>
      <c r="Y53" s="176" t="e">
        <f t="shared" si="51"/>
        <v>#N/A</v>
      </c>
      <c r="Z53" s="176" t="e">
        <f t="shared" si="52"/>
        <v>#N/A</v>
      </c>
      <c r="AA53" s="176" t="e">
        <f t="shared" si="33"/>
        <v>#N/A</v>
      </c>
      <c r="AB53" s="176" t="e">
        <f t="shared" si="34"/>
        <v>#N/A</v>
      </c>
      <c r="AC53" s="176" t="e">
        <f t="shared" si="35"/>
        <v>#N/A</v>
      </c>
      <c r="AD53" s="176" t="e">
        <f t="shared" si="36"/>
        <v>#N/A</v>
      </c>
      <c r="AE53" s="176" t="e">
        <f t="shared" si="37"/>
        <v>#N/A</v>
      </c>
      <c r="AF53" s="176" t="e">
        <f t="shared" si="38"/>
        <v>#N/A</v>
      </c>
      <c r="AG53" s="176" t="e">
        <f t="shared" si="39"/>
        <v>#N/A</v>
      </c>
      <c r="AH53" s="176" t="e">
        <f t="shared" si="40"/>
        <v>#N/A</v>
      </c>
      <c r="AI53" s="177">
        <v>0</v>
      </c>
      <c r="AJ53" s="178"/>
      <c r="AK53" s="127"/>
      <c r="AL53" s="82">
        <v>100</v>
      </c>
      <c r="AO53" s="83"/>
      <c r="AP53" s="84"/>
    </row>
    <row r="54" spans="1:42" ht="16.5" customHeight="1">
      <c r="A54" s="128">
        <v>13</v>
      </c>
      <c r="B54" s="184"/>
      <c r="C54" s="359"/>
      <c r="D54" s="360"/>
      <c r="E54" s="360"/>
      <c r="F54" s="360"/>
      <c r="G54" s="361"/>
      <c r="H54" s="172">
        <v>13</v>
      </c>
      <c r="I54" s="371"/>
      <c r="J54" s="372"/>
      <c r="K54" s="373"/>
      <c r="L54" s="182"/>
      <c r="M54" s="182"/>
      <c r="N54" s="183"/>
      <c r="O54" s="175">
        <f t="shared" si="41"/>
        <v>0</v>
      </c>
      <c r="P54" s="176" t="e">
        <f t="shared" si="42"/>
        <v>#N/A</v>
      </c>
      <c r="Q54" s="176" t="e">
        <f t="shared" si="43"/>
        <v>#N/A</v>
      </c>
      <c r="R54" s="176" t="e">
        <f t="shared" si="44"/>
        <v>#N/A</v>
      </c>
      <c r="S54" s="176" t="e">
        <f t="shared" si="45"/>
        <v>#N/A</v>
      </c>
      <c r="T54" s="176" t="e">
        <f t="shared" si="46"/>
        <v>#N/A</v>
      </c>
      <c r="U54" s="176" t="e">
        <f t="shared" si="47"/>
        <v>#N/A</v>
      </c>
      <c r="V54" s="176" t="e">
        <f t="shared" si="48"/>
        <v>#N/A</v>
      </c>
      <c r="W54" s="176" t="e">
        <f t="shared" si="49"/>
        <v>#N/A</v>
      </c>
      <c r="X54" s="176" t="e">
        <f t="shared" si="50"/>
        <v>#N/A</v>
      </c>
      <c r="Y54" s="176" t="e">
        <f t="shared" si="51"/>
        <v>#N/A</v>
      </c>
      <c r="Z54" s="176" t="e">
        <f t="shared" si="52"/>
        <v>#N/A</v>
      </c>
      <c r="AA54" s="176" t="e">
        <f t="shared" si="33"/>
        <v>#N/A</v>
      </c>
      <c r="AB54" s="176" t="e">
        <f t="shared" si="34"/>
        <v>#N/A</v>
      </c>
      <c r="AC54" s="176" t="e">
        <f t="shared" si="35"/>
        <v>#N/A</v>
      </c>
      <c r="AD54" s="176" t="e">
        <f t="shared" si="36"/>
        <v>#N/A</v>
      </c>
      <c r="AE54" s="176" t="e">
        <f t="shared" si="37"/>
        <v>#N/A</v>
      </c>
      <c r="AF54" s="176" t="e">
        <f t="shared" si="38"/>
        <v>#N/A</v>
      </c>
      <c r="AG54" s="176" t="e">
        <f t="shared" si="39"/>
        <v>#N/A</v>
      </c>
      <c r="AH54" s="176" t="e">
        <f t="shared" si="40"/>
        <v>#N/A</v>
      </c>
      <c r="AI54" s="177">
        <v>0</v>
      </c>
      <c r="AJ54" s="178"/>
      <c r="AK54" s="127"/>
      <c r="AL54" s="82">
        <v>100</v>
      </c>
      <c r="AO54" s="83"/>
      <c r="AP54" s="84"/>
    </row>
    <row r="55" spans="1:42" ht="16.5" customHeight="1">
      <c r="A55" s="128">
        <v>14</v>
      </c>
      <c r="B55" s="184"/>
      <c r="C55" s="359"/>
      <c r="D55" s="360"/>
      <c r="E55" s="360"/>
      <c r="F55" s="360"/>
      <c r="G55" s="361"/>
      <c r="H55" s="172">
        <v>14</v>
      </c>
      <c r="I55" s="263"/>
      <c r="J55" s="264"/>
      <c r="K55" s="265"/>
      <c r="L55" s="182"/>
      <c r="M55" s="182"/>
      <c r="N55" s="183"/>
      <c r="O55" s="175">
        <f t="shared" si="41"/>
        <v>0</v>
      </c>
      <c r="P55" s="176" t="e">
        <f t="shared" si="42"/>
        <v>#N/A</v>
      </c>
      <c r="Q55" s="176" t="e">
        <f t="shared" si="43"/>
        <v>#N/A</v>
      </c>
      <c r="R55" s="176" t="e">
        <f t="shared" si="44"/>
        <v>#N/A</v>
      </c>
      <c r="S55" s="176" t="e">
        <f t="shared" si="45"/>
        <v>#N/A</v>
      </c>
      <c r="T55" s="176" t="e">
        <f t="shared" si="46"/>
        <v>#N/A</v>
      </c>
      <c r="U55" s="176" t="e">
        <f t="shared" si="47"/>
        <v>#N/A</v>
      </c>
      <c r="V55" s="176" t="e">
        <f t="shared" si="48"/>
        <v>#N/A</v>
      </c>
      <c r="W55" s="176" t="e">
        <f t="shared" si="49"/>
        <v>#N/A</v>
      </c>
      <c r="X55" s="176" t="e">
        <f t="shared" si="50"/>
        <v>#N/A</v>
      </c>
      <c r="Y55" s="176" t="e">
        <f t="shared" si="51"/>
        <v>#N/A</v>
      </c>
      <c r="Z55" s="176" t="e">
        <f t="shared" si="52"/>
        <v>#N/A</v>
      </c>
      <c r="AA55" s="176" t="e">
        <f t="shared" si="33"/>
        <v>#N/A</v>
      </c>
      <c r="AB55" s="176" t="e">
        <f t="shared" si="34"/>
        <v>#N/A</v>
      </c>
      <c r="AC55" s="176" t="e">
        <f t="shared" si="35"/>
        <v>#N/A</v>
      </c>
      <c r="AD55" s="176" t="e">
        <f t="shared" si="36"/>
        <v>#N/A</v>
      </c>
      <c r="AE55" s="176" t="e">
        <f t="shared" si="37"/>
        <v>#N/A</v>
      </c>
      <c r="AF55" s="176" t="e">
        <f t="shared" si="38"/>
        <v>#N/A</v>
      </c>
      <c r="AG55" s="176" t="e">
        <f t="shared" si="39"/>
        <v>#N/A</v>
      </c>
      <c r="AH55" s="176" t="e">
        <f t="shared" si="40"/>
        <v>#N/A</v>
      </c>
      <c r="AI55" s="177">
        <v>0</v>
      </c>
      <c r="AJ55" s="178"/>
      <c r="AK55" s="127"/>
      <c r="AL55" s="82">
        <v>100</v>
      </c>
      <c r="AO55" s="83"/>
      <c r="AP55" s="84"/>
    </row>
    <row r="56" spans="1:42" ht="16.5" customHeight="1">
      <c r="A56" s="128"/>
      <c r="B56" s="129"/>
      <c r="C56" s="359"/>
      <c r="D56" s="360"/>
      <c r="E56" s="360"/>
      <c r="F56" s="360"/>
      <c r="G56" s="361"/>
      <c r="H56" s="172">
        <v>15</v>
      </c>
      <c r="I56" s="371"/>
      <c r="J56" s="372"/>
      <c r="K56" s="373"/>
      <c r="L56" s="182"/>
      <c r="M56" s="182"/>
      <c r="N56" s="183"/>
      <c r="O56" s="175">
        <f t="shared" si="41"/>
        <v>0</v>
      </c>
      <c r="P56" s="176" t="e">
        <f t="shared" si="42"/>
        <v>#N/A</v>
      </c>
      <c r="Q56" s="176" t="e">
        <f t="shared" si="43"/>
        <v>#N/A</v>
      </c>
      <c r="R56" s="176" t="e">
        <f t="shared" si="44"/>
        <v>#N/A</v>
      </c>
      <c r="S56" s="176" t="e">
        <f t="shared" si="45"/>
        <v>#N/A</v>
      </c>
      <c r="T56" s="176" t="e">
        <f t="shared" si="46"/>
        <v>#N/A</v>
      </c>
      <c r="U56" s="176" t="e">
        <f t="shared" si="47"/>
        <v>#N/A</v>
      </c>
      <c r="V56" s="176" t="e">
        <f t="shared" si="48"/>
        <v>#N/A</v>
      </c>
      <c r="W56" s="176" t="e">
        <f t="shared" si="49"/>
        <v>#N/A</v>
      </c>
      <c r="X56" s="176" t="e">
        <f t="shared" si="50"/>
        <v>#N/A</v>
      </c>
      <c r="Y56" s="176" t="e">
        <f t="shared" si="51"/>
        <v>#N/A</v>
      </c>
      <c r="Z56" s="176" t="e">
        <f t="shared" si="52"/>
        <v>#N/A</v>
      </c>
      <c r="AA56" s="176" t="e">
        <f t="shared" si="33"/>
        <v>#N/A</v>
      </c>
      <c r="AB56" s="176" t="e">
        <f t="shared" si="34"/>
        <v>#N/A</v>
      </c>
      <c r="AC56" s="176" t="e">
        <f t="shared" si="35"/>
        <v>#N/A</v>
      </c>
      <c r="AD56" s="176" t="e">
        <f t="shared" si="36"/>
        <v>#N/A</v>
      </c>
      <c r="AE56" s="176" t="e">
        <f t="shared" si="37"/>
        <v>#N/A</v>
      </c>
      <c r="AF56" s="176" t="e">
        <f t="shared" si="38"/>
        <v>#N/A</v>
      </c>
      <c r="AG56" s="176" t="e">
        <f t="shared" si="39"/>
        <v>#N/A</v>
      </c>
      <c r="AH56" s="176" t="e">
        <f t="shared" si="40"/>
        <v>#N/A</v>
      </c>
      <c r="AI56" s="177">
        <v>0</v>
      </c>
      <c r="AJ56" s="178"/>
      <c r="AK56" s="127"/>
      <c r="AL56" s="82">
        <v>0</v>
      </c>
      <c r="AO56" s="83"/>
      <c r="AP56" s="84"/>
    </row>
    <row r="57" spans="1:42" ht="16.5" customHeight="1">
      <c r="A57" s="128"/>
      <c r="B57" s="129"/>
      <c r="C57" s="359"/>
      <c r="D57" s="360"/>
      <c r="E57" s="360"/>
      <c r="F57" s="360"/>
      <c r="G57" s="361"/>
      <c r="H57" s="172">
        <v>16</v>
      </c>
      <c r="I57" s="371"/>
      <c r="J57" s="372"/>
      <c r="K57" s="373"/>
      <c r="L57" s="182"/>
      <c r="M57" s="182"/>
      <c r="N57" s="183"/>
      <c r="O57" s="175">
        <f>IF(AI57="","",IF(AI57&lt;&gt;0,VLOOKUP(AI57,$AO$16:$AP$16,2),0))</f>
        <v>0</v>
      </c>
      <c r="P57" s="176" t="e">
        <f>IF(AI57="","",IF(AI57&gt;=0,VLOOKUP(AI57,$AO$17:$AP$17,2),0))</f>
        <v>#N/A</v>
      </c>
      <c r="Q57" s="176" t="e">
        <f>IF(AI57="","",IF(AI57&gt;=0,VLOOKUP(AI57,$AO$18:$AP$18,2),0))</f>
        <v>#N/A</v>
      </c>
      <c r="R57" s="176" t="e">
        <f>IF(AI57="","",IF(AI57&gt;=0,VLOOKUP(AI57,$AO$19:$AP$19,2),0))</f>
        <v>#N/A</v>
      </c>
      <c r="S57" s="176" t="e">
        <f>IF(AI57="","",IF(AI57&gt;=0,VLOOKUP(AI57,$AO$20:$AP$20,2),0))</f>
        <v>#N/A</v>
      </c>
      <c r="T57" s="176" t="e">
        <f>IF(AI57="","",IF(AI57&gt;=0,VLOOKUP(AI57,$AO$21:$AP$21,2),0))</f>
        <v>#N/A</v>
      </c>
      <c r="U57" s="176" t="e">
        <f>IF(AI57="","",IF(AI57&gt;=0,VLOOKUP(AI57,$AO$22:$AP$22,2),0))</f>
        <v>#N/A</v>
      </c>
      <c r="V57" s="176" t="e">
        <f>IF(AI57="","",IF(AI57&gt;=0,VLOOKUP(AI57,$AO$23:$AP$23,2),0))</f>
        <v>#N/A</v>
      </c>
      <c r="W57" s="176" t="e">
        <f>IF(AI57="","",IF(AI57&gt;=0,VLOOKUP(AI57,$AO$24:$AP$24,2),0))</f>
        <v>#N/A</v>
      </c>
      <c r="X57" s="176" t="e">
        <f>IF(AI57="","",IF(AI57&gt;=0,VLOOKUP(AI57,$AO$25:$AP$25,2),0))</f>
        <v>#N/A</v>
      </c>
      <c r="Y57" s="176" t="e">
        <f>IF(AI57="","",IF(AI57&gt;=0,VLOOKUP(AI57,$AO$26:$AP$26,2),0))</f>
        <v>#N/A</v>
      </c>
      <c r="Z57" s="176" t="e">
        <f>IF(AI57="","",IF(AI57&gt;=0,VLOOKUP(AI57,$AO$27:$AP$27,2),0))</f>
        <v>#N/A</v>
      </c>
      <c r="AA57" s="176" t="e">
        <f t="shared" si="33"/>
        <v>#N/A</v>
      </c>
      <c r="AB57" s="176" t="e">
        <f t="shared" si="34"/>
        <v>#N/A</v>
      </c>
      <c r="AC57" s="176" t="e">
        <f t="shared" si="35"/>
        <v>#N/A</v>
      </c>
      <c r="AD57" s="176" t="e">
        <f t="shared" si="36"/>
        <v>#N/A</v>
      </c>
      <c r="AE57" s="176" t="e">
        <f t="shared" si="37"/>
        <v>#N/A</v>
      </c>
      <c r="AF57" s="176" t="e">
        <f t="shared" si="38"/>
        <v>#N/A</v>
      </c>
      <c r="AG57" s="176" t="e">
        <f t="shared" si="39"/>
        <v>#N/A</v>
      </c>
      <c r="AH57" s="176" t="e">
        <f t="shared" si="40"/>
        <v>#N/A</v>
      </c>
      <c r="AI57" s="177">
        <f>AL57/100</f>
        <v>0</v>
      </c>
      <c r="AJ57" s="178"/>
      <c r="AK57" s="127"/>
      <c r="AL57" s="82">
        <v>0</v>
      </c>
      <c r="AO57" s="83"/>
      <c r="AP57" s="84"/>
    </row>
    <row r="58" spans="1:42" ht="16.5" customHeight="1">
      <c r="A58" s="142"/>
      <c r="B58" s="143"/>
      <c r="C58" s="350"/>
      <c r="D58" s="351"/>
      <c r="E58" s="351"/>
      <c r="F58" s="351"/>
      <c r="G58" s="352"/>
      <c r="H58" s="192"/>
      <c r="I58" s="374"/>
      <c r="J58" s="375"/>
      <c r="K58" s="376"/>
      <c r="L58" s="193"/>
      <c r="M58" s="193"/>
      <c r="N58" s="194"/>
      <c r="O58" s="195">
        <f>IF(AI58="","",IF(AI58&lt;&gt;0,VLOOKUP(AI58,$AO$16:$AP$16,2),0))</f>
        <v>0</v>
      </c>
      <c r="P58" s="196" t="e">
        <f>IF(AI58="","",IF(AI58&gt;=0,VLOOKUP(AI58,$AO$17:$AP$17,2),0))</f>
        <v>#N/A</v>
      </c>
      <c r="Q58" s="196" t="e">
        <f>IF(AI58="","",IF(AI58&gt;=0,VLOOKUP(AI58,$AO$18:$AP$18,2),0))</f>
        <v>#N/A</v>
      </c>
      <c r="R58" s="196" t="e">
        <f>IF(AI58="","",IF(AI58&gt;=0,VLOOKUP(AI58,$AO$19:$AP$19,2),0))</f>
        <v>#N/A</v>
      </c>
      <c r="S58" s="196" t="e">
        <f>IF(AI58="","",IF(AI58&gt;=0,VLOOKUP(AI58,$AO$20:$AP$20,2),0))</f>
        <v>#N/A</v>
      </c>
      <c r="T58" s="196" t="e">
        <f>IF(AI58="","",IF(AI58&gt;=0,VLOOKUP(AI58,$AO$21:$AP$21,2),0))</f>
        <v>#N/A</v>
      </c>
      <c r="U58" s="196" t="e">
        <f>IF(AI58="","",IF(AI58&gt;=0,VLOOKUP(AI58,$AO$22:$AP$22,2),0))</f>
        <v>#N/A</v>
      </c>
      <c r="V58" s="196" t="e">
        <f>IF(AI58="","",IF(AI58&gt;=0,VLOOKUP(AI58,$AO$23:$AP$23,2),0))</f>
        <v>#N/A</v>
      </c>
      <c r="W58" s="196" t="e">
        <f>IF(AI58="","",IF(AI58&gt;=0,VLOOKUP(AI58,$AO$24:$AP$24,2),0))</f>
        <v>#N/A</v>
      </c>
      <c r="X58" s="196" t="e">
        <f>IF(AI58="","",IF(AI58&gt;=0,VLOOKUP(AI58,$AO$25:$AP$25,2),0))</f>
        <v>#N/A</v>
      </c>
      <c r="Y58" s="196" t="e">
        <f>IF(AI58="","",IF(AI58&gt;=0,VLOOKUP(AI58,$AO$26:$AP$26,2),0))</f>
        <v>#N/A</v>
      </c>
      <c r="Z58" s="196" t="e">
        <f>IF(AI58="","",IF(AI58&gt;=0,VLOOKUP(AI58,$AO$27:$AP$27,2),0))</f>
        <v>#N/A</v>
      </c>
      <c r="AA58" s="196" t="e">
        <f t="shared" si="33"/>
        <v>#N/A</v>
      </c>
      <c r="AB58" s="196" t="e">
        <f t="shared" si="34"/>
        <v>#N/A</v>
      </c>
      <c r="AC58" s="196" t="e">
        <f t="shared" si="35"/>
        <v>#N/A</v>
      </c>
      <c r="AD58" s="196" t="e">
        <f t="shared" si="36"/>
        <v>#N/A</v>
      </c>
      <c r="AE58" s="196" t="e">
        <f t="shared" si="37"/>
        <v>#N/A</v>
      </c>
      <c r="AF58" s="196" t="e">
        <f t="shared" si="38"/>
        <v>#N/A</v>
      </c>
      <c r="AG58" s="196" t="e">
        <f t="shared" si="39"/>
        <v>#N/A</v>
      </c>
      <c r="AH58" s="196" t="e">
        <f t="shared" si="40"/>
        <v>#N/A</v>
      </c>
      <c r="AI58" s="197">
        <f>AL58/100</f>
        <v>0</v>
      </c>
      <c r="AJ58" s="198"/>
      <c r="AK58" s="127"/>
      <c r="AL58" s="82"/>
      <c r="AO58" s="83"/>
      <c r="AP58" s="84"/>
    </row>
    <row r="59" spans="1:42" ht="26.25" customHeight="1">
      <c r="A59" s="199"/>
      <c r="B59" s="261"/>
      <c r="C59" s="377"/>
      <c r="D59" s="377"/>
      <c r="E59" s="377"/>
      <c r="F59" s="377"/>
      <c r="G59" s="377"/>
      <c r="H59" s="201" t="s">
        <v>43</v>
      </c>
      <c r="I59" s="201"/>
      <c r="J59" s="201"/>
      <c r="K59" s="202"/>
      <c r="L59" s="203"/>
      <c r="M59" s="203"/>
      <c r="N59" s="204"/>
      <c r="O59" s="205"/>
      <c r="P59" s="205"/>
      <c r="Q59" s="205"/>
      <c r="R59" s="205"/>
      <c r="S59" s="378"/>
      <c r="T59" s="378"/>
      <c r="U59" s="205"/>
      <c r="V59" s="205"/>
      <c r="W59" s="205"/>
      <c r="X59" s="205"/>
      <c r="Y59" s="378"/>
      <c r="Z59" s="378"/>
      <c r="AA59" s="262"/>
      <c r="AB59" s="262"/>
      <c r="AC59" s="262"/>
      <c r="AD59" s="205"/>
      <c r="AE59" s="378"/>
      <c r="AF59" s="378"/>
      <c r="AG59" s="205"/>
      <c r="AH59" s="205"/>
      <c r="AI59" s="207"/>
      <c r="AJ59" s="208"/>
      <c r="AK59" s="127"/>
      <c r="AL59" s="209"/>
      <c r="AO59" s="83">
        <v>0.7</v>
      </c>
      <c r="AP59" s="84" t="s">
        <v>25</v>
      </c>
    </row>
    <row r="60" spans="1:42" s="152" customFormat="1" ht="34.5" customHeight="1">
      <c r="A60" s="379" t="s">
        <v>44</v>
      </c>
      <c r="B60" s="380"/>
      <c r="C60" s="380"/>
      <c r="D60" s="380"/>
      <c r="E60" s="380"/>
      <c r="F60" s="380"/>
      <c r="G60" s="380"/>
      <c r="H60" s="380"/>
      <c r="I60" s="380"/>
      <c r="J60" s="381"/>
      <c r="K60" s="382" t="s">
        <v>91</v>
      </c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150"/>
      <c r="AL60" s="210"/>
      <c r="AO60" s="153"/>
      <c r="AP60" s="154"/>
    </row>
    <row r="61" spans="1:42" ht="49.5" customHeight="1">
      <c r="A61" s="320" t="s">
        <v>13</v>
      </c>
      <c r="B61" s="384" t="s">
        <v>45</v>
      </c>
      <c r="C61" s="386" t="s">
        <v>46</v>
      </c>
      <c r="D61" s="386"/>
      <c r="E61" s="386"/>
      <c r="F61" s="386" t="s">
        <v>47</v>
      </c>
      <c r="G61" s="386"/>
      <c r="H61" s="386"/>
      <c r="I61" s="386"/>
      <c r="J61" s="386" t="s">
        <v>46</v>
      </c>
      <c r="K61" s="388" t="s">
        <v>48</v>
      </c>
      <c r="L61" s="388"/>
      <c r="M61" s="388"/>
      <c r="N61" s="388"/>
      <c r="O61" s="388"/>
      <c r="P61" s="388"/>
      <c r="Q61" s="388"/>
      <c r="R61" s="388"/>
      <c r="S61" s="388"/>
      <c r="T61" s="390" t="s">
        <v>49</v>
      </c>
      <c r="U61" s="391"/>
      <c r="V61" s="391"/>
      <c r="W61" s="391"/>
      <c r="X61" s="391"/>
      <c r="Y61" s="391"/>
      <c r="Z61" s="391"/>
      <c r="AA61" s="391"/>
      <c r="AB61" s="391"/>
      <c r="AC61" s="391"/>
      <c r="AD61" s="391"/>
      <c r="AE61" s="391"/>
      <c r="AF61" s="391"/>
      <c r="AG61" s="391"/>
      <c r="AH61" s="391"/>
      <c r="AI61" s="391"/>
      <c r="AJ61" s="392"/>
      <c r="AK61" s="127"/>
      <c r="AO61" s="83">
        <v>0.75</v>
      </c>
      <c r="AP61" s="84" t="s">
        <v>25</v>
      </c>
    </row>
    <row r="62" spans="1:42" ht="16.5" customHeight="1">
      <c r="A62" s="320"/>
      <c r="B62" s="384"/>
      <c r="C62" s="386"/>
      <c r="D62" s="386"/>
      <c r="E62" s="386"/>
      <c r="F62" s="386"/>
      <c r="G62" s="386"/>
      <c r="H62" s="386"/>
      <c r="I62" s="386"/>
      <c r="J62" s="386"/>
      <c r="K62" s="319"/>
      <c r="L62" s="319"/>
      <c r="M62" s="319"/>
      <c r="N62" s="319"/>
      <c r="O62" s="319"/>
      <c r="P62" s="319"/>
      <c r="Q62" s="319"/>
      <c r="R62" s="319"/>
      <c r="S62" s="319"/>
      <c r="T62" s="319" t="s">
        <v>50</v>
      </c>
      <c r="U62" s="319"/>
      <c r="V62" s="319"/>
      <c r="W62" s="319"/>
      <c r="X62" s="319"/>
      <c r="Y62" s="319"/>
      <c r="Z62" s="319" t="s">
        <v>51</v>
      </c>
      <c r="AA62" s="319"/>
      <c r="AB62" s="319"/>
      <c r="AC62" s="319"/>
      <c r="AD62" s="319"/>
      <c r="AE62" s="319"/>
      <c r="AF62" s="408" t="s">
        <v>52</v>
      </c>
      <c r="AG62" s="408"/>
      <c r="AH62" s="408"/>
      <c r="AI62" s="408"/>
      <c r="AJ62" s="408"/>
      <c r="AK62" s="127"/>
      <c r="AO62" s="83">
        <v>0.8</v>
      </c>
      <c r="AP62" s="84" t="s">
        <v>25</v>
      </c>
    </row>
    <row r="63" spans="1:42" ht="16.5" customHeight="1">
      <c r="A63" s="383"/>
      <c r="B63" s="385"/>
      <c r="C63" s="387"/>
      <c r="D63" s="387"/>
      <c r="E63" s="387"/>
      <c r="F63" s="387"/>
      <c r="G63" s="387"/>
      <c r="H63" s="387"/>
      <c r="I63" s="387"/>
      <c r="J63" s="387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409"/>
      <c r="AG63" s="409"/>
      <c r="AH63" s="409"/>
      <c r="AI63" s="409"/>
      <c r="AJ63" s="409"/>
      <c r="AK63" s="211"/>
      <c r="AO63" s="83">
        <v>0.85</v>
      </c>
      <c r="AP63" s="84" t="s">
        <v>25</v>
      </c>
    </row>
    <row r="64" spans="1:42" ht="17.25" customHeight="1">
      <c r="A64" s="212">
        <v>1</v>
      </c>
      <c r="B64" s="213"/>
      <c r="C64" s="410">
        <v>0</v>
      </c>
      <c r="D64" s="411"/>
      <c r="E64" s="412"/>
      <c r="F64" s="413"/>
      <c r="G64" s="414"/>
      <c r="H64" s="414"/>
      <c r="I64" s="415"/>
      <c r="J64" s="214"/>
      <c r="K64" s="416" t="s">
        <v>53</v>
      </c>
      <c r="L64" s="417"/>
      <c r="M64" s="417"/>
      <c r="N64" s="417"/>
      <c r="O64" s="417"/>
      <c r="P64" s="417"/>
      <c r="Q64" s="417"/>
      <c r="R64" s="417"/>
      <c r="S64" s="418"/>
      <c r="T64" s="419"/>
      <c r="U64" s="420"/>
      <c r="V64" s="420"/>
      <c r="W64" s="420"/>
      <c r="X64" s="420"/>
      <c r="Y64" s="421"/>
      <c r="Z64" s="422"/>
      <c r="AA64" s="423"/>
      <c r="AB64" s="423"/>
      <c r="AC64" s="423"/>
      <c r="AD64" s="423"/>
      <c r="AE64" s="424"/>
      <c r="AF64" s="425"/>
      <c r="AG64" s="426"/>
      <c r="AH64" s="426"/>
      <c r="AI64" s="426"/>
      <c r="AJ64" s="426"/>
      <c r="AK64" s="427"/>
      <c r="AO64" s="83">
        <v>0.9</v>
      </c>
      <c r="AP64" s="84" t="s">
        <v>25</v>
      </c>
    </row>
    <row r="65" spans="1:49" ht="16.5" customHeight="1">
      <c r="A65" s="215">
        <v>2</v>
      </c>
      <c r="B65" s="216"/>
      <c r="C65" s="396">
        <v>0</v>
      </c>
      <c r="D65" s="397"/>
      <c r="E65" s="398"/>
      <c r="F65" s="399"/>
      <c r="G65" s="400"/>
      <c r="H65" s="400"/>
      <c r="I65" s="401"/>
      <c r="J65" s="217"/>
      <c r="K65" s="402" t="s">
        <v>54</v>
      </c>
      <c r="L65" s="403"/>
      <c r="M65" s="403"/>
      <c r="N65" s="403"/>
      <c r="O65" s="403"/>
      <c r="P65" s="403"/>
      <c r="Q65" s="403"/>
      <c r="R65" s="403"/>
      <c r="S65" s="404"/>
      <c r="T65" s="393">
        <v>6</v>
      </c>
      <c r="U65" s="394"/>
      <c r="V65" s="394"/>
      <c r="W65" s="394"/>
      <c r="X65" s="394"/>
      <c r="Y65" s="395"/>
      <c r="Z65" s="405">
        <v>3</v>
      </c>
      <c r="AA65" s="406"/>
      <c r="AB65" s="406"/>
      <c r="AC65" s="406"/>
      <c r="AD65" s="406"/>
      <c r="AE65" s="407"/>
      <c r="AF65" s="393">
        <f>T65+Z65</f>
        <v>9</v>
      </c>
      <c r="AG65" s="394"/>
      <c r="AH65" s="394"/>
      <c r="AI65" s="394"/>
      <c r="AJ65" s="394"/>
      <c r="AK65" s="395"/>
      <c r="AO65" s="83">
        <v>0.95</v>
      </c>
      <c r="AP65" s="84" t="s">
        <v>25</v>
      </c>
    </row>
    <row r="66" spans="1:49" ht="16.5" customHeight="1">
      <c r="A66" s="215">
        <v>3</v>
      </c>
      <c r="B66" s="216"/>
      <c r="C66" s="396">
        <v>0</v>
      </c>
      <c r="D66" s="397"/>
      <c r="E66" s="398"/>
      <c r="F66" s="429"/>
      <c r="G66" s="430"/>
      <c r="H66" s="430"/>
      <c r="I66" s="431"/>
      <c r="J66" s="217"/>
      <c r="K66" s="402" t="s">
        <v>55</v>
      </c>
      <c r="L66" s="403"/>
      <c r="M66" s="403"/>
      <c r="N66" s="403"/>
      <c r="O66" s="403"/>
      <c r="P66" s="403"/>
      <c r="Q66" s="403"/>
      <c r="R66" s="403"/>
      <c r="S66" s="404"/>
      <c r="T66" s="393">
        <v>2</v>
      </c>
      <c r="U66" s="394"/>
      <c r="V66" s="394"/>
      <c r="W66" s="394"/>
      <c r="X66" s="394"/>
      <c r="Y66" s="395"/>
      <c r="Z66" s="405">
        <v>1</v>
      </c>
      <c r="AA66" s="406"/>
      <c r="AB66" s="406"/>
      <c r="AC66" s="406"/>
      <c r="AD66" s="406"/>
      <c r="AE66" s="407"/>
      <c r="AF66" s="393">
        <f t="shared" ref="AF66:AF81" si="53">T66+Z66</f>
        <v>3</v>
      </c>
      <c r="AG66" s="394"/>
      <c r="AH66" s="394"/>
      <c r="AI66" s="394"/>
      <c r="AJ66" s="394"/>
      <c r="AK66" s="395"/>
      <c r="AO66" s="218">
        <v>1</v>
      </c>
      <c r="AP66" s="219" t="s">
        <v>25</v>
      </c>
      <c r="AQ66" s="220"/>
      <c r="AR66" s="220"/>
      <c r="AS66" s="220"/>
      <c r="AT66" s="220"/>
      <c r="AU66" s="220"/>
      <c r="AV66" s="220"/>
      <c r="AW66" s="220"/>
    </row>
    <row r="67" spans="1:49" ht="16.5" customHeight="1">
      <c r="A67" s="215">
        <v>4</v>
      </c>
      <c r="B67" s="216"/>
      <c r="C67" s="396">
        <v>0</v>
      </c>
      <c r="D67" s="397"/>
      <c r="E67" s="398"/>
      <c r="F67" s="429"/>
      <c r="G67" s="430"/>
      <c r="H67" s="430"/>
      <c r="I67" s="431"/>
      <c r="J67" s="217"/>
      <c r="K67" s="402" t="s">
        <v>56</v>
      </c>
      <c r="L67" s="403"/>
      <c r="M67" s="403"/>
      <c r="N67" s="403"/>
      <c r="O67" s="403"/>
      <c r="P67" s="403"/>
      <c r="Q67" s="403"/>
      <c r="R67" s="403"/>
      <c r="S67" s="404"/>
      <c r="T67" s="432">
        <v>0</v>
      </c>
      <c r="U67" s="433"/>
      <c r="V67" s="433"/>
      <c r="W67" s="433"/>
      <c r="X67" s="433"/>
      <c r="Y67" s="434"/>
      <c r="Z67" s="405"/>
      <c r="AA67" s="406"/>
      <c r="AB67" s="406"/>
      <c r="AC67" s="406"/>
      <c r="AD67" s="406"/>
      <c r="AE67" s="407"/>
      <c r="AF67" s="432">
        <f>T67+Z67</f>
        <v>0</v>
      </c>
      <c r="AG67" s="433"/>
      <c r="AH67" s="433"/>
      <c r="AI67" s="433"/>
      <c r="AJ67" s="433"/>
      <c r="AK67" s="434"/>
      <c r="AN67" s="221"/>
      <c r="AO67" s="221"/>
      <c r="AP67" s="221"/>
      <c r="AQ67" s="222"/>
      <c r="AR67" s="222"/>
      <c r="AS67" s="222"/>
      <c r="AT67" s="222"/>
      <c r="AU67" s="222"/>
      <c r="AV67" s="222"/>
      <c r="AW67" s="220"/>
    </row>
    <row r="68" spans="1:49" ht="16.5" customHeight="1">
      <c r="A68" s="215">
        <v>5</v>
      </c>
      <c r="B68" s="216"/>
      <c r="C68" s="396">
        <v>0</v>
      </c>
      <c r="D68" s="397"/>
      <c r="E68" s="398"/>
      <c r="F68" s="429"/>
      <c r="G68" s="430"/>
      <c r="H68" s="430"/>
      <c r="I68" s="431"/>
      <c r="J68" s="217"/>
      <c r="K68" s="402" t="s">
        <v>57</v>
      </c>
      <c r="L68" s="403"/>
      <c r="M68" s="403"/>
      <c r="N68" s="403"/>
      <c r="O68" s="403"/>
      <c r="P68" s="403"/>
      <c r="Q68" s="403"/>
      <c r="R68" s="403"/>
      <c r="S68" s="404"/>
      <c r="T68" s="432">
        <v>0</v>
      </c>
      <c r="U68" s="433"/>
      <c r="V68" s="433"/>
      <c r="W68" s="433"/>
      <c r="X68" s="433"/>
      <c r="Y68" s="434"/>
      <c r="Z68" s="405"/>
      <c r="AA68" s="406"/>
      <c r="AB68" s="406"/>
      <c r="AC68" s="406"/>
      <c r="AD68" s="406"/>
      <c r="AE68" s="407"/>
      <c r="AF68" s="432">
        <f t="shared" si="53"/>
        <v>0</v>
      </c>
      <c r="AG68" s="433"/>
      <c r="AH68" s="433"/>
      <c r="AI68" s="433"/>
      <c r="AJ68" s="433"/>
      <c r="AK68" s="434"/>
      <c r="AL68" s="223"/>
      <c r="AN68" s="221"/>
      <c r="AO68" s="221"/>
      <c r="AP68" s="221"/>
      <c r="AQ68" s="222"/>
      <c r="AR68" s="222"/>
      <c r="AS68" s="222"/>
      <c r="AT68" s="222"/>
      <c r="AU68" s="222"/>
      <c r="AV68" s="222"/>
      <c r="AW68" s="220"/>
    </row>
    <row r="69" spans="1:49" ht="16.5" customHeight="1">
      <c r="A69" s="215">
        <v>6</v>
      </c>
      <c r="B69" s="224"/>
      <c r="C69" s="396">
        <v>0</v>
      </c>
      <c r="D69" s="397"/>
      <c r="E69" s="398"/>
      <c r="F69" s="429"/>
      <c r="G69" s="430"/>
      <c r="H69" s="430"/>
      <c r="I69" s="431"/>
      <c r="J69" s="217"/>
      <c r="K69" s="402" t="s">
        <v>58</v>
      </c>
      <c r="L69" s="403"/>
      <c r="M69" s="403"/>
      <c r="N69" s="403"/>
      <c r="O69" s="403"/>
      <c r="P69" s="403"/>
      <c r="Q69" s="403"/>
      <c r="R69" s="403"/>
      <c r="S69" s="404"/>
      <c r="T69" s="432">
        <v>1</v>
      </c>
      <c r="U69" s="433"/>
      <c r="V69" s="433"/>
      <c r="W69" s="433"/>
      <c r="X69" s="433"/>
      <c r="Y69" s="434"/>
      <c r="Z69" s="405"/>
      <c r="AA69" s="406"/>
      <c r="AB69" s="406"/>
      <c r="AC69" s="406"/>
      <c r="AD69" s="406"/>
      <c r="AE69" s="407"/>
      <c r="AF69" s="432">
        <f>T69+Z69</f>
        <v>1</v>
      </c>
      <c r="AG69" s="433"/>
      <c r="AH69" s="433"/>
      <c r="AI69" s="433"/>
      <c r="AJ69" s="433"/>
      <c r="AK69" s="434"/>
      <c r="AL69" s="223"/>
      <c r="AN69" s="221"/>
      <c r="AO69" s="221"/>
      <c r="AP69" s="221"/>
      <c r="AQ69" s="428"/>
      <c r="AR69" s="428"/>
      <c r="AS69" s="428"/>
      <c r="AT69" s="428"/>
      <c r="AU69" s="428"/>
      <c r="AV69" s="428"/>
      <c r="AW69" s="220"/>
    </row>
    <row r="70" spans="1:49" ht="16.5" customHeight="1">
      <c r="A70" s="215">
        <v>7</v>
      </c>
      <c r="B70" s="224"/>
      <c r="C70" s="396">
        <v>0</v>
      </c>
      <c r="D70" s="397"/>
      <c r="E70" s="398"/>
      <c r="F70" s="429"/>
      <c r="G70" s="430"/>
      <c r="H70" s="430"/>
      <c r="I70" s="431"/>
      <c r="J70" s="217"/>
      <c r="K70" s="402" t="s">
        <v>59</v>
      </c>
      <c r="L70" s="403"/>
      <c r="M70" s="403"/>
      <c r="N70" s="403"/>
      <c r="O70" s="403"/>
      <c r="P70" s="403"/>
      <c r="Q70" s="403"/>
      <c r="R70" s="403"/>
      <c r="S70" s="404"/>
      <c r="T70" s="432">
        <v>0</v>
      </c>
      <c r="U70" s="433"/>
      <c r="V70" s="433"/>
      <c r="W70" s="433"/>
      <c r="X70" s="433"/>
      <c r="Y70" s="434"/>
      <c r="Z70" s="405"/>
      <c r="AA70" s="406"/>
      <c r="AB70" s="406"/>
      <c r="AC70" s="406"/>
      <c r="AD70" s="406"/>
      <c r="AE70" s="407"/>
      <c r="AF70" s="432">
        <f t="shared" si="53"/>
        <v>0</v>
      </c>
      <c r="AG70" s="433"/>
      <c r="AH70" s="433"/>
      <c r="AI70" s="433"/>
      <c r="AJ70" s="433"/>
      <c r="AK70" s="434"/>
      <c r="AL70" s="223"/>
      <c r="AN70" s="221"/>
      <c r="AO70" s="221"/>
      <c r="AP70" s="221"/>
      <c r="AQ70" s="428"/>
      <c r="AR70" s="428"/>
      <c r="AS70" s="428"/>
      <c r="AT70" s="428"/>
      <c r="AU70" s="428"/>
      <c r="AV70" s="428"/>
      <c r="AW70" s="220"/>
    </row>
    <row r="71" spans="1:49" ht="16.5" customHeight="1">
      <c r="A71" s="215">
        <v>8</v>
      </c>
      <c r="B71" s="224"/>
      <c r="C71" s="396">
        <v>0</v>
      </c>
      <c r="D71" s="397"/>
      <c r="E71" s="398"/>
      <c r="F71" s="429"/>
      <c r="G71" s="430"/>
      <c r="H71" s="430"/>
      <c r="I71" s="431"/>
      <c r="J71" s="217"/>
      <c r="K71" s="402" t="s">
        <v>60</v>
      </c>
      <c r="L71" s="403"/>
      <c r="M71" s="403"/>
      <c r="N71" s="403"/>
      <c r="O71" s="403"/>
      <c r="P71" s="403"/>
      <c r="Q71" s="403"/>
      <c r="R71" s="403"/>
      <c r="S71" s="404"/>
      <c r="T71" s="432">
        <v>0</v>
      </c>
      <c r="U71" s="433"/>
      <c r="V71" s="433"/>
      <c r="W71" s="433"/>
      <c r="X71" s="433"/>
      <c r="Y71" s="434"/>
      <c r="Z71" s="405"/>
      <c r="AA71" s="406"/>
      <c r="AB71" s="406"/>
      <c r="AC71" s="406"/>
      <c r="AD71" s="406"/>
      <c r="AE71" s="407"/>
      <c r="AF71" s="432">
        <v>0</v>
      </c>
      <c r="AG71" s="433"/>
      <c r="AH71" s="433"/>
      <c r="AI71" s="433"/>
      <c r="AJ71" s="433"/>
      <c r="AK71" s="434"/>
      <c r="AL71" s="223"/>
      <c r="AN71" s="221"/>
      <c r="AO71" s="221"/>
      <c r="AP71" s="221"/>
      <c r="AQ71" s="428"/>
      <c r="AR71" s="428"/>
      <c r="AS71" s="428"/>
      <c r="AT71" s="428"/>
      <c r="AU71" s="428"/>
      <c r="AV71" s="428"/>
      <c r="AW71" s="220"/>
    </row>
    <row r="72" spans="1:49" ht="24" customHeight="1">
      <c r="A72" s="215">
        <v>9</v>
      </c>
      <c r="B72" s="224"/>
      <c r="C72" s="396">
        <v>0</v>
      </c>
      <c r="D72" s="397"/>
      <c r="E72" s="398"/>
      <c r="F72" s="429"/>
      <c r="G72" s="430"/>
      <c r="H72" s="430"/>
      <c r="I72" s="431"/>
      <c r="J72" s="217"/>
      <c r="K72" s="402" t="s">
        <v>61</v>
      </c>
      <c r="L72" s="403"/>
      <c r="M72" s="403"/>
      <c r="N72" s="403"/>
      <c r="O72" s="403"/>
      <c r="P72" s="403"/>
      <c r="Q72" s="403"/>
      <c r="R72" s="403"/>
      <c r="S72" s="404"/>
      <c r="T72" s="432">
        <v>0</v>
      </c>
      <c r="U72" s="433"/>
      <c r="V72" s="433"/>
      <c r="W72" s="433"/>
      <c r="X72" s="433"/>
      <c r="Y72" s="434"/>
      <c r="Z72" s="405"/>
      <c r="AA72" s="406"/>
      <c r="AB72" s="406"/>
      <c r="AC72" s="406"/>
      <c r="AD72" s="406"/>
      <c r="AE72" s="407"/>
      <c r="AF72" s="432">
        <f t="shared" si="53"/>
        <v>0</v>
      </c>
      <c r="AG72" s="433"/>
      <c r="AH72" s="433"/>
      <c r="AI72" s="433"/>
      <c r="AJ72" s="433"/>
      <c r="AK72" s="434"/>
      <c r="AL72" s="223"/>
      <c r="AN72" s="221"/>
      <c r="AO72" s="221"/>
      <c r="AP72" s="221"/>
      <c r="AQ72" s="428"/>
      <c r="AR72" s="428"/>
      <c r="AS72" s="428"/>
      <c r="AT72" s="428"/>
      <c r="AU72" s="428"/>
      <c r="AV72" s="428"/>
      <c r="AW72" s="220"/>
    </row>
    <row r="73" spans="1:49">
      <c r="A73" s="215">
        <v>10</v>
      </c>
      <c r="B73" s="224"/>
      <c r="C73" s="396">
        <v>0</v>
      </c>
      <c r="D73" s="397"/>
      <c r="E73" s="398"/>
      <c r="F73" s="429"/>
      <c r="G73" s="430"/>
      <c r="H73" s="430"/>
      <c r="I73" s="431"/>
      <c r="J73" s="217"/>
      <c r="K73" s="402" t="s">
        <v>62</v>
      </c>
      <c r="L73" s="403"/>
      <c r="M73" s="403"/>
      <c r="N73" s="403"/>
      <c r="O73" s="403"/>
      <c r="P73" s="403"/>
      <c r="Q73" s="403"/>
      <c r="R73" s="403"/>
      <c r="S73" s="404"/>
      <c r="T73" s="432">
        <v>0</v>
      </c>
      <c r="U73" s="433"/>
      <c r="V73" s="433"/>
      <c r="W73" s="433"/>
      <c r="X73" s="433"/>
      <c r="Y73" s="434"/>
      <c r="Z73" s="405"/>
      <c r="AA73" s="406"/>
      <c r="AB73" s="406"/>
      <c r="AC73" s="406"/>
      <c r="AD73" s="406"/>
      <c r="AE73" s="407"/>
      <c r="AF73" s="432">
        <f t="shared" si="53"/>
        <v>0</v>
      </c>
      <c r="AG73" s="433"/>
      <c r="AH73" s="433"/>
      <c r="AI73" s="433"/>
      <c r="AJ73" s="433"/>
      <c r="AK73" s="434"/>
      <c r="AL73" s="223"/>
      <c r="AN73" s="221"/>
      <c r="AO73" s="221"/>
      <c r="AP73" s="221"/>
      <c r="AQ73" s="428"/>
      <c r="AR73" s="428"/>
      <c r="AS73" s="428"/>
      <c r="AT73" s="428"/>
      <c r="AU73" s="428"/>
      <c r="AV73" s="428"/>
      <c r="AW73" s="220"/>
    </row>
    <row r="74" spans="1:49" ht="16.5" customHeight="1">
      <c r="A74" s="215">
        <v>11</v>
      </c>
      <c r="B74" s="224"/>
      <c r="C74" s="396">
        <v>0</v>
      </c>
      <c r="D74" s="397"/>
      <c r="E74" s="398"/>
      <c r="F74" s="429"/>
      <c r="G74" s="430"/>
      <c r="H74" s="430"/>
      <c r="I74" s="431"/>
      <c r="J74" s="217"/>
      <c r="K74" s="402" t="s">
        <v>63</v>
      </c>
      <c r="L74" s="403"/>
      <c r="M74" s="403"/>
      <c r="N74" s="403"/>
      <c r="O74" s="403"/>
      <c r="P74" s="403"/>
      <c r="Q74" s="403"/>
      <c r="R74" s="403"/>
      <c r="S74" s="404"/>
      <c r="T74" s="393">
        <v>0</v>
      </c>
      <c r="U74" s="394"/>
      <c r="V74" s="394"/>
      <c r="W74" s="394"/>
      <c r="X74" s="394"/>
      <c r="Y74" s="395"/>
      <c r="Z74" s="435"/>
      <c r="AA74" s="436"/>
      <c r="AB74" s="436"/>
      <c r="AC74" s="436"/>
      <c r="AD74" s="436"/>
      <c r="AE74" s="437"/>
      <c r="AF74" s="393">
        <f>T74+Z74</f>
        <v>0</v>
      </c>
      <c r="AG74" s="394"/>
      <c r="AH74" s="394"/>
      <c r="AI74" s="394"/>
      <c r="AJ74" s="394"/>
      <c r="AK74" s="395"/>
      <c r="AL74" s="223"/>
      <c r="AN74" s="221"/>
      <c r="AO74" s="221"/>
      <c r="AP74" s="221"/>
      <c r="AQ74" s="428"/>
      <c r="AR74" s="428"/>
      <c r="AS74" s="428"/>
      <c r="AT74" s="428"/>
      <c r="AU74" s="428"/>
      <c r="AV74" s="428"/>
      <c r="AW74" s="220"/>
    </row>
    <row r="75" spans="1:49" ht="16.5" customHeight="1">
      <c r="A75" s="215">
        <v>12</v>
      </c>
      <c r="B75" s="224"/>
      <c r="C75" s="396">
        <v>0</v>
      </c>
      <c r="D75" s="397"/>
      <c r="E75" s="398"/>
      <c r="F75" s="429"/>
      <c r="G75" s="430"/>
      <c r="H75" s="430"/>
      <c r="I75" s="431"/>
      <c r="J75" s="217"/>
      <c r="K75" s="402" t="s">
        <v>64</v>
      </c>
      <c r="L75" s="403"/>
      <c r="M75" s="403"/>
      <c r="N75" s="403"/>
      <c r="O75" s="403"/>
      <c r="P75" s="403"/>
      <c r="Q75" s="403"/>
      <c r="R75" s="403"/>
      <c r="S75" s="404"/>
      <c r="T75" s="432">
        <v>0</v>
      </c>
      <c r="U75" s="433"/>
      <c r="V75" s="433"/>
      <c r="W75" s="433"/>
      <c r="X75" s="433"/>
      <c r="Y75" s="434"/>
      <c r="Z75" s="405"/>
      <c r="AA75" s="406"/>
      <c r="AB75" s="406"/>
      <c r="AC75" s="406"/>
      <c r="AD75" s="406"/>
      <c r="AE75" s="407"/>
      <c r="AF75" s="432">
        <f t="shared" si="53"/>
        <v>0</v>
      </c>
      <c r="AG75" s="433"/>
      <c r="AH75" s="433"/>
      <c r="AI75" s="433"/>
      <c r="AJ75" s="433"/>
      <c r="AK75" s="434"/>
      <c r="AL75" s="223"/>
      <c r="AN75" s="221"/>
      <c r="AO75" s="221"/>
      <c r="AP75" s="221"/>
      <c r="AQ75" s="428"/>
      <c r="AR75" s="428"/>
      <c r="AS75" s="428"/>
      <c r="AT75" s="428"/>
      <c r="AU75" s="428"/>
      <c r="AV75" s="428"/>
      <c r="AW75" s="220"/>
    </row>
    <row r="76" spans="1:49" ht="16.5" customHeight="1">
      <c r="A76" s="215">
        <v>13</v>
      </c>
      <c r="B76" s="225"/>
      <c r="C76" s="396">
        <v>0</v>
      </c>
      <c r="D76" s="397"/>
      <c r="E76" s="398"/>
      <c r="F76" s="429"/>
      <c r="G76" s="430"/>
      <c r="H76" s="430"/>
      <c r="I76" s="431"/>
      <c r="J76" s="217"/>
      <c r="K76" s="402" t="s">
        <v>65</v>
      </c>
      <c r="L76" s="403"/>
      <c r="M76" s="403"/>
      <c r="N76" s="403"/>
      <c r="O76" s="403"/>
      <c r="P76" s="403"/>
      <c r="Q76" s="403"/>
      <c r="R76" s="403"/>
      <c r="S76" s="404"/>
      <c r="T76" s="432">
        <v>0</v>
      </c>
      <c r="U76" s="433"/>
      <c r="V76" s="433"/>
      <c r="W76" s="433"/>
      <c r="X76" s="433"/>
      <c r="Y76" s="434"/>
      <c r="Z76" s="435"/>
      <c r="AA76" s="436"/>
      <c r="AB76" s="436"/>
      <c r="AC76" s="436"/>
      <c r="AD76" s="436"/>
      <c r="AE76" s="437"/>
      <c r="AF76" s="432">
        <f t="shared" si="53"/>
        <v>0</v>
      </c>
      <c r="AG76" s="433"/>
      <c r="AH76" s="433"/>
      <c r="AI76" s="433"/>
      <c r="AJ76" s="433"/>
      <c r="AK76" s="434"/>
      <c r="AL76" s="223"/>
      <c r="AN76" s="221"/>
      <c r="AO76" s="221"/>
      <c r="AP76" s="221"/>
      <c r="AQ76" s="428"/>
      <c r="AR76" s="428"/>
      <c r="AS76" s="428"/>
      <c r="AT76" s="428"/>
      <c r="AU76" s="428"/>
      <c r="AV76" s="428"/>
      <c r="AW76" s="220"/>
    </row>
    <row r="77" spans="1:49" ht="27.75" customHeight="1">
      <c r="A77" s="215">
        <v>14</v>
      </c>
      <c r="B77" s="225"/>
      <c r="C77" s="396">
        <v>0</v>
      </c>
      <c r="D77" s="397"/>
      <c r="E77" s="398"/>
      <c r="F77" s="429"/>
      <c r="G77" s="430"/>
      <c r="H77" s="430"/>
      <c r="I77" s="431"/>
      <c r="J77" s="217"/>
      <c r="K77" s="402" t="s">
        <v>66</v>
      </c>
      <c r="L77" s="403"/>
      <c r="M77" s="403"/>
      <c r="N77" s="403"/>
      <c r="O77" s="403"/>
      <c r="P77" s="403"/>
      <c r="Q77" s="403"/>
      <c r="R77" s="403"/>
      <c r="S77" s="404"/>
      <c r="T77" s="393">
        <v>0</v>
      </c>
      <c r="U77" s="394"/>
      <c r="V77" s="394"/>
      <c r="W77" s="394"/>
      <c r="X77" s="394"/>
      <c r="Y77" s="395"/>
      <c r="Z77" s="435"/>
      <c r="AA77" s="436"/>
      <c r="AB77" s="436"/>
      <c r="AC77" s="436"/>
      <c r="AD77" s="436"/>
      <c r="AE77" s="437"/>
      <c r="AF77" s="393">
        <f t="shared" si="53"/>
        <v>0</v>
      </c>
      <c r="AG77" s="394"/>
      <c r="AH77" s="394"/>
      <c r="AI77" s="394"/>
      <c r="AJ77" s="394"/>
      <c r="AK77" s="395"/>
      <c r="AL77" s="223"/>
      <c r="AN77" s="221"/>
      <c r="AO77" s="221"/>
      <c r="AP77" s="221"/>
      <c r="AQ77" s="428"/>
      <c r="AR77" s="428"/>
      <c r="AS77" s="428"/>
      <c r="AT77" s="428"/>
      <c r="AU77" s="428"/>
      <c r="AV77" s="428"/>
      <c r="AW77" s="220"/>
    </row>
    <row r="78" spans="1:49" ht="16.5" customHeight="1">
      <c r="A78" s="215"/>
      <c r="B78" s="225"/>
      <c r="C78" s="438"/>
      <c r="D78" s="439"/>
      <c r="E78" s="440"/>
      <c r="F78" s="429"/>
      <c r="G78" s="430"/>
      <c r="H78" s="430"/>
      <c r="I78" s="431"/>
      <c r="J78" s="226"/>
      <c r="K78" s="402" t="s">
        <v>67</v>
      </c>
      <c r="L78" s="403"/>
      <c r="M78" s="403"/>
      <c r="N78" s="403"/>
      <c r="O78" s="403"/>
      <c r="P78" s="403"/>
      <c r="Q78" s="403"/>
      <c r="R78" s="403"/>
      <c r="S78" s="404"/>
      <c r="T78" s="432">
        <v>0</v>
      </c>
      <c r="U78" s="433"/>
      <c r="V78" s="433"/>
      <c r="W78" s="433"/>
      <c r="X78" s="433"/>
      <c r="Y78" s="434"/>
      <c r="Z78" s="405"/>
      <c r="AA78" s="406"/>
      <c r="AB78" s="406"/>
      <c r="AC78" s="406"/>
      <c r="AD78" s="406"/>
      <c r="AE78" s="407"/>
      <c r="AF78" s="432">
        <f t="shared" si="53"/>
        <v>0</v>
      </c>
      <c r="AG78" s="433"/>
      <c r="AH78" s="433"/>
      <c r="AI78" s="433"/>
      <c r="AJ78" s="433"/>
      <c r="AK78" s="434"/>
      <c r="AL78" s="223"/>
      <c r="AN78" s="221"/>
      <c r="AO78" s="221"/>
      <c r="AP78" s="221"/>
      <c r="AQ78" s="428"/>
      <c r="AR78" s="428"/>
      <c r="AS78" s="428"/>
      <c r="AT78" s="428"/>
      <c r="AU78" s="428"/>
      <c r="AV78" s="428"/>
      <c r="AW78" s="220"/>
    </row>
    <row r="79" spans="1:49" ht="16.5" customHeight="1">
      <c r="A79" s="215"/>
      <c r="B79" s="129"/>
      <c r="C79" s="438"/>
      <c r="D79" s="439"/>
      <c r="E79" s="440"/>
      <c r="F79" s="429"/>
      <c r="G79" s="430"/>
      <c r="H79" s="430"/>
      <c r="I79" s="431"/>
      <c r="J79" s="226"/>
      <c r="K79" s="402" t="s">
        <v>68</v>
      </c>
      <c r="L79" s="403"/>
      <c r="M79" s="403"/>
      <c r="N79" s="403"/>
      <c r="O79" s="403"/>
      <c r="P79" s="403"/>
      <c r="Q79" s="403"/>
      <c r="R79" s="403"/>
      <c r="S79" s="404"/>
      <c r="T79" s="393">
        <v>0</v>
      </c>
      <c r="U79" s="394"/>
      <c r="V79" s="394"/>
      <c r="W79" s="394"/>
      <c r="X79" s="394"/>
      <c r="Y79" s="395"/>
      <c r="Z79" s="405"/>
      <c r="AA79" s="406"/>
      <c r="AB79" s="406"/>
      <c r="AC79" s="406"/>
      <c r="AD79" s="406"/>
      <c r="AE79" s="407"/>
      <c r="AF79" s="393">
        <f t="shared" si="53"/>
        <v>0</v>
      </c>
      <c r="AG79" s="394"/>
      <c r="AH79" s="394"/>
      <c r="AI79" s="394"/>
      <c r="AJ79" s="394"/>
      <c r="AK79" s="395"/>
      <c r="AL79" s="223"/>
      <c r="AN79" s="221"/>
      <c r="AO79" s="221"/>
      <c r="AP79" s="221"/>
      <c r="AQ79" s="428"/>
      <c r="AR79" s="428"/>
      <c r="AS79" s="428"/>
      <c r="AT79" s="428"/>
      <c r="AU79" s="428"/>
      <c r="AV79" s="428"/>
      <c r="AW79" s="220"/>
    </row>
    <row r="80" spans="1:49" ht="16.5" customHeight="1">
      <c r="A80" s="215"/>
      <c r="B80" s="129"/>
      <c r="C80" s="227"/>
      <c r="D80" s="228"/>
      <c r="E80" s="229"/>
      <c r="F80" s="429"/>
      <c r="G80" s="430"/>
      <c r="H80" s="430"/>
      <c r="I80" s="431"/>
      <c r="J80" s="226"/>
      <c r="K80" s="402" t="s">
        <v>69</v>
      </c>
      <c r="L80" s="403"/>
      <c r="M80" s="403"/>
      <c r="N80" s="403"/>
      <c r="O80" s="403"/>
      <c r="P80" s="403"/>
      <c r="Q80" s="403"/>
      <c r="R80" s="403"/>
      <c r="S80" s="404"/>
      <c r="T80" s="393">
        <v>0</v>
      </c>
      <c r="U80" s="394"/>
      <c r="V80" s="394"/>
      <c r="W80" s="394"/>
      <c r="X80" s="394"/>
      <c r="Y80" s="395"/>
      <c r="Z80" s="435"/>
      <c r="AA80" s="436"/>
      <c r="AB80" s="436"/>
      <c r="AC80" s="436"/>
      <c r="AD80" s="436"/>
      <c r="AE80" s="437"/>
      <c r="AF80" s="393">
        <f t="shared" si="53"/>
        <v>0</v>
      </c>
      <c r="AG80" s="394"/>
      <c r="AH80" s="394"/>
      <c r="AI80" s="394"/>
      <c r="AJ80" s="394"/>
      <c r="AK80" s="395"/>
      <c r="AL80" s="223"/>
      <c r="AN80" s="221"/>
      <c r="AO80" s="221"/>
      <c r="AP80" s="221"/>
      <c r="AQ80" s="428"/>
      <c r="AR80" s="428"/>
      <c r="AS80" s="428"/>
      <c r="AT80" s="428"/>
      <c r="AU80" s="428"/>
      <c r="AV80" s="428"/>
      <c r="AW80" s="220"/>
    </row>
    <row r="81" spans="1:49" ht="16.5" customHeight="1">
      <c r="A81" s="230"/>
      <c r="B81" s="231"/>
      <c r="C81" s="232"/>
      <c r="D81" s="233"/>
      <c r="E81" s="234"/>
      <c r="F81" s="464"/>
      <c r="G81" s="465"/>
      <c r="H81" s="465"/>
      <c r="I81" s="466"/>
      <c r="J81" s="235"/>
      <c r="K81" s="467" t="s">
        <v>70</v>
      </c>
      <c r="L81" s="468"/>
      <c r="M81" s="468"/>
      <c r="N81" s="468"/>
      <c r="O81" s="468"/>
      <c r="P81" s="468"/>
      <c r="Q81" s="468"/>
      <c r="R81" s="468"/>
      <c r="S81" s="469"/>
      <c r="T81" s="470">
        <v>0</v>
      </c>
      <c r="U81" s="471"/>
      <c r="V81" s="471"/>
      <c r="W81" s="471"/>
      <c r="X81" s="471"/>
      <c r="Y81" s="472"/>
      <c r="Z81" s="473"/>
      <c r="AA81" s="474"/>
      <c r="AB81" s="474"/>
      <c r="AC81" s="474"/>
      <c r="AD81" s="474"/>
      <c r="AE81" s="475"/>
      <c r="AF81" s="470">
        <f t="shared" si="53"/>
        <v>0</v>
      </c>
      <c r="AG81" s="471"/>
      <c r="AH81" s="471"/>
      <c r="AI81" s="471"/>
      <c r="AJ81" s="471"/>
      <c r="AK81" s="472"/>
      <c r="AL81" s="223"/>
      <c r="AN81" s="221"/>
      <c r="AO81" s="221"/>
      <c r="AP81" s="221"/>
      <c r="AQ81" s="428"/>
      <c r="AR81" s="428"/>
      <c r="AS81" s="428"/>
      <c r="AT81" s="428"/>
      <c r="AU81" s="428"/>
      <c r="AV81" s="428"/>
      <c r="AW81" s="220"/>
    </row>
    <row r="82" spans="1:49" ht="20.25" customHeight="1">
      <c r="A82" s="236"/>
      <c r="B82" s="237"/>
      <c r="C82" s="238"/>
      <c r="D82" s="446"/>
      <c r="E82" s="447"/>
      <c r="F82" s="448"/>
      <c r="G82" s="449"/>
      <c r="H82" s="449"/>
      <c r="I82" s="450"/>
      <c r="J82" s="239"/>
      <c r="K82" s="451" t="s">
        <v>71</v>
      </c>
      <c r="L82" s="452"/>
      <c r="M82" s="452"/>
      <c r="N82" s="452"/>
      <c r="O82" s="452"/>
      <c r="P82" s="452"/>
      <c r="Q82" s="452"/>
      <c r="R82" s="452"/>
      <c r="S82" s="453"/>
      <c r="T82" s="454">
        <f>SUM(T64:Y81)</f>
        <v>9</v>
      </c>
      <c r="U82" s="455"/>
      <c r="V82" s="455"/>
      <c r="W82" s="455"/>
      <c r="X82" s="455"/>
      <c r="Y82" s="456"/>
      <c r="Z82" s="457">
        <f>SUM(Z64:AE81)</f>
        <v>4</v>
      </c>
      <c r="AA82" s="458"/>
      <c r="AB82" s="458"/>
      <c r="AC82" s="458"/>
      <c r="AD82" s="458"/>
      <c r="AE82" s="459"/>
      <c r="AF82" s="457">
        <f>SUM(AF64:AK81)</f>
        <v>13</v>
      </c>
      <c r="AG82" s="458"/>
      <c r="AH82" s="458"/>
      <c r="AI82" s="458"/>
      <c r="AJ82" s="460"/>
      <c r="AK82" s="240"/>
      <c r="AN82" s="221"/>
      <c r="AO82" s="221"/>
      <c r="AP82" s="221"/>
      <c r="AQ82" s="428"/>
      <c r="AR82" s="428"/>
      <c r="AS82" s="428"/>
      <c r="AT82" s="428"/>
      <c r="AU82" s="428"/>
      <c r="AV82" s="428"/>
      <c r="AW82" s="220"/>
    </row>
    <row r="83" spans="1:49" ht="18.75">
      <c r="A83" s="441" t="s">
        <v>72</v>
      </c>
      <c r="B83" s="441"/>
      <c r="C83" s="441"/>
      <c r="D83" s="441"/>
      <c r="E83" s="441"/>
      <c r="F83" s="441"/>
      <c r="G83" s="441"/>
      <c r="H83" s="441"/>
      <c r="I83" s="441"/>
      <c r="J83" s="441"/>
      <c r="K83" s="241"/>
      <c r="L83" s="242"/>
      <c r="M83" s="243"/>
      <c r="N83" s="243"/>
      <c r="O83" s="243"/>
      <c r="P83" s="243"/>
      <c r="Q83" s="243"/>
      <c r="R83" s="243"/>
      <c r="S83" s="243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2"/>
      <c r="AF83" s="442"/>
      <c r="AL83" s="223"/>
      <c r="AN83" s="221"/>
      <c r="AO83" s="221"/>
      <c r="AP83" s="221"/>
      <c r="AQ83" s="222"/>
      <c r="AR83" s="222"/>
      <c r="AS83" s="222"/>
      <c r="AT83" s="222"/>
      <c r="AU83" s="222"/>
      <c r="AV83" s="222"/>
      <c r="AW83" s="220"/>
    </row>
    <row r="84" spans="1:49" ht="19.5">
      <c r="A84" s="246"/>
      <c r="B84" s="246"/>
      <c r="C84" s="247"/>
      <c r="D84" s="246"/>
      <c r="E84" s="248"/>
      <c r="F84" s="249"/>
      <c r="G84" s="250"/>
      <c r="H84" s="250"/>
      <c r="I84" s="250" t="s">
        <v>73</v>
      </c>
      <c r="J84" s="241"/>
      <c r="K84" s="241"/>
      <c r="L84" s="242"/>
      <c r="M84" s="243"/>
      <c r="N84" s="243"/>
      <c r="O84" s="243"/>
      <c r="P84" s="243"/>
      <c r="Q84" s="243"/>
      <c r="R84" s="243"/>
      <c r="S84" s="243"/>
      <c r="T84" s="243"/>
      <c r="U84" s="443" t="s">
        <v>74</v>
      </c>
      <c r="V84" s="443"/>
      <c r="W84" s="443"/>
      <c r="X84" s="443"/>
      <c r="Y84" s="443"/>
      <c r="Z84" s="443"/>
      <c r="AA84" s="443"/>
      <c r="AB84" s="443"/>
      <c r="AC84" s="443"/>
      <c r="AD84" s="443"/>
      <c r="AE84" s="443"/>
      <c r="AF84" s="443"/>
      <c r="AN84" s="221"/>
      <c r="AO84" s="221"/>
      <c r="AP84" s="221"/>
      <c r="AQ84" s="222"/>
      <c r="AR84" s="222"/>
      <c r="AS84" s="222"/>
      <c r="AT84" s="222"/>
      <c r="AU84" s="222"/>
      <c r="AV84" s="222"/>
      <c r="AW84" s="220"/>
    </row>
    <row r="85" spans="1:49">
      <c r="B85" s="251"/>
      <c r="C85" s="251"/>
      <c r="D85" s="251"/>
      <c r="E85" s="251"/>
      <c r="F85" s="251"/>
      <c r="G85" s="252"/>
      <c r="AQ85" s="220"/>
      <c r="AR85" s="220"/>
      <c r="AS85" s="220"/>
      <c r="AT85" s="220"/>
      <c r="AU85" s="220"/>
      <c r="AV85" s="220"/>
      <c r="AW85" s="220"/>
    </row>
    <row r="86" spans="1:49">
      <c r="B86" s="251"/>
      <c r="C86" s="251"/>
      <c r="D86" s="251"/>
      <c r="E86" s="251"/>
      <c r="F86" s="251"/>
      <c r="G86" s="252"/>
      <c r="AQ86" s="220"/>
      <c r="AR86" s="220"/>
      <c r="AS86" s="220"/>
      <c r="AT86" s="220"/>
      <c r="AU86" s="220"/>
      <c r="AV86" s="220"/>
      <c r="AW86" s="220"/>
    </row>
    <row r="87" spans="1:49">
      <c r="B87" s="251"/>
      <c r="C87" s="251"/>
      <c r="D87" s="251"/>
      <c r="E87" s="251"/>
      <c r="F87" s="251"/>
      <c r="G87" s="252"/>
      <c r="AQ87" s="220"/>
      <c r="AR87" s="220"/>
      <c r="AS87" s="220"/>
      <c r="AT87" s="220"/>
      <c r="AU87" s="220"/>
      <c r="AV87" s="220"/>
      <c r="AW87" s="220"/>
    </row>
    <row r="88" spans="1:49" ht="18.75">
      <c r="B88" s="251"/>
      <c r="C88" s="251"/>
      <c r="D88" s="251"/>
      <c r="E88" s="251"/>
      <c r="F88" s="251"/>
      <c r="G88" s="252"/>
      <c r="U88" s="444"/>
      <c r="V88" s="444"/>
      <c r="W88" s="444"/>
      <c r="X88" s="444"/>
      <c r="Y88" s="444"/>
      <c r="Z88" s="444"/>
      <c r="AA88" s="444"/>
      <c r="AB88" s="444"/>
      <c r="AC88" s="444"/>
      <c r="AD88" s="444"/>
      <c r="AE88" s="444"/>
      <c r="AF88" s="444"/>
    </row>
    <row r="89" spans="1:49">
      <c r="B89" s="251"/>
      <c r="C89" s="251"/>
      <c r="D89" s="251"/>
      <c r="E89" s="251"/>
      <c r="F89" s="251"/>
      <c r="G89" s="255"/>
    </row>
    <row r="90" spans="1:49">
      <c r="B90" s="251"/>
      <c r="C90" s="251"/>
      <c r="D90" s="251"/>
      <c r="E90" s="251"/>
      <c r="F90" s="251"/>
      <c r="G90" s="252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</row>
    <row r="91" spans="1:49">
      <c r="B91" s="251"/>
      <c r="C91" s="251"/>
      <c r="D91" s="251"/>
      <c r="E91" s="251"/>
      <c r="F91" s="251"/>
      <c r="G91" s="251"/>
      <c r="Y91" s="221"/>
      <c r="Z91" s="221"/>
      <c r="AA91" s="445"/>
      <c r="AB91" s="445"/>
      <c r="AC91" s="445"/>
      <c r="AD91" s="445"/>
      <c r="AE91" s="445"/>
      <c r="AF91" s="445"/>
      <c r="AG91" s="221"/>
      <c r="AH91" s="221"/>
    </row>
    <row r="92" spans="1:49">
      <c r="B92" s="251"/>
      <c r="C92" s="251"/>
      <c r="D92" s="251"/>
      <c r="E92" s="251"/>
      <c r="F92" s="251"/>
      <c r="G92" s="251"/>
      <c r="Y92" s="221"/>
      <c r="Z92" s="221"/>
      <c r="AA92" s="445"/>
      <c r="AB92" s="445"/>
      <c r="AC92" s="445"/>
      <c r="AD92" s="445"/>
      <c r="AE92" s="445"/>
      <c r="AF92" s="445"/>
      <c r="AG92" s="221"/>
      <c r="AH92" s="221"/>
    </row>
    <row r="93" spans="1:49">
      <c r="B93" s="251"/>
      <c r="C93" s="251"/>
      <c r="D93" s="251"/>
      <c r="E93" s="251"/>
      <c r="F93" s="251"/>
      <c r="G93" s="251"/>
      <c r="Y93" s="221"/>
      <c r="Z93" s="221"/>
      <c r="AA93" s="445"/>
      <c r="AB93" s="445"/>
      <c r="AC93" s="445"/>
      <c r="AD93" s="445"/>
      <c r="AE93" s="445"/>
      <c r="AF93" s="445"/>
      <c r="AG93" s="221"/>
      <c r="AH93" s="221"/>
    </row>
    <row r="94" spans="1:49">
      <c r="B94" s="251"/>
      <c r="C94" s="251"/>
      <c r="D94" s="251"/>
      <c r="E94" s="251"/>
      <c r="F94" s="251"/>
      <c r="G94" s="251"/>
      <c r="Y94" s="221"/>
      <c r="Z94" s="221"/>
      <c r="AA94" s="445"/>
      <c r="AB94" s="445"/>
      <c r="AC94" s="445"/>
      <c r="AD94" s="445"/>
      <c r="AE94" s="445"/>
      <c r="AF94" s="445"/>
      <c r="AG94" s="221"/>
      <c r="AH94" s="221"/>
    </row>
    <row r="95" spans="1:49">
      <c r="B95" s="251"/>
      <c r="C95" s="251"/>
      <c r="D95" s="251"/>
      <c r="E95" s="251"/>
      <c r="F95" s="251"/>
      <c r="G95" s="251"/>
      <c r="Y95" s="221"/>
      <c r="Z95" s="221"/>
      <c r="AA95" s="445"/>
      <c r="AB95" s="445"/>
      <c r="AC95" s="445"/>
      <c r="AD95" s="445"/>
      <c r="AE95" s="445"/>
      <c r="AF95" s="445"/>
      <c r="AG95" s="221"/>
      <c r="AH95" s="221"/>
    </row>
    <row r="96" spans="1:49">
      <c r="B96" s="251"/>
      <c r="C96" s="251"/>
      <c r="D96" s="251"/>
      <c r="E96" s="251"/>
      <c r="F96" s="251"/>
      <c r="G96" s="251"/>
      <c r="Y96" s="221"/>
      <c r="Z96" s="221"/>
      <c r="AA96" s="445"/>
      <c r="AB96" s="445"/>
      <c r="AC96" s="445"/>
      <c r="AD96" s="445"/>
      <c r="AE96" s="445"/>
      <c r="AF96" s="445"/>
      <c r="AG96" s="221"/>
      <c r="AH96" s="221"/>
    </row>
    <row r="97" spans="1:49">
      <c r="B97" s="251"/>
      <c r="C97" s="251"/>
      <c r="D97" s="251"/>
      <c r="E97" s="251"/>
      <c r="F97" s="251"/>
      <c r="G97" s="251"/>
      <c r="Y97" s="221"/>
      <c r="Z97" s="221"/>
      <c r="AA97" s="445"/>
      <c r="AB97" s="445"/>
      <c r="AC97" s="445"/>
      <c r="AD97" s="445"/>
      <c r="AE97" s="445"/>
      <c r="AF97" s="445"/>
      <c r="AG97" s="221"/>
      <c r="AH97" s="221"/>
    </row>
    <row r="98" spans="1:49">
      <c r="B98" s="251"/>
      <c r="C98" s="251"/>
      <c r="D98" s="251"/>
      <c r="E98" s="251"/>
      <c r="F98" s="251"/>
      <c r="G98" s="251"/>
      <c r="Y98" s="221"/>
      <c r="Z98" s="221"/>
      <c r="AA98" s="445"/>
      <c r="AB98" s="445"/>
      <c r="AC98" s="445"/>
      <c r="AD98" s="445"/>
      <c r="AE98" s="445"/>
      <c r="AF98" s="445"/>
      <c r="AG98" s="221"/>
      <c r="AH98" s="221"/>
    </row>
    <row r="99" spans="1:49"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6"/>
      <c r="M99" s="256"/>
      <c r="N99" s="257"/>
      <c r="O99" s="251"/>
      <c r="P99" s="251"/>
      <c r="Q99" s="251"/>
      <c r="Y99" s="221"/>
      <c r="Z99" s="221"/>
      <c r="AA99" s="445"/>
      <c r="AB99" s="445"/>
      <c r="AC99" s="445"/>
      <c r="AD99" s="445"/>
      <c r="AE99" s="445"/>
      <c r="AF99" s="445"/>
      <c r="AG99" s="221"/>
      <c r="AH99" s="221"/>
    </row>
    <row r="100" spans="1:49" s="244" customFormat="1">
      <c r="A100" s="48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6"/>
      <c r="M100" s="256"/>
      <c r="N100" s="257"/>
      <c r="O100" s="251"/>
      <c r="P100" s="251"/>
      <c r="Q100" s="251"/>
      <c r="R100" s="48"/>
      <c r="S100" s="48"/>
      <c r="T100" s="48"/>
      <c r="U100" s="48"/>
      <c r="V100" s="48"/>
      <c r="W100" s="48"/>
      <c r="X100" s="48"/>
      <c r="Y100" s="221"/>
      <c r="Z100" s="221"/>
      <c r="AA100" s="445"/>
      <c r="AB100" s="445"/>
      <c r="AC100" s="445"/>
      <c r="AD100" s="445"/>
      <c r="AE100" s="445"/>
      <c r="AF100" s="445"/>
      <c r="AG100" s="221"/>
      <c r="AH100" s="221"/>
      <c r="AJ100" s="245"/>
      <c r="AK100" s="48"/>
      <c r="AL100" s="47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 s="244" customFormat="1">
      <c r="A101" s="48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6"/>
      <c r="M101" s="256"/>
      <c r="N101" s="257"/>
      <c r="O101" s="251"/>
      <c r="P101" s="251"/>
      <c r="Q101" s="251"/>
      <c r="R101" s="48"/>
      <c r="S101" s="48"/>
      <c r="T101" s="48"/>
      <c r="U101" s="48"/>
      <c r="V101" s="48"/>
      <c r="W101" s="48"/>
      <c r="X101" s="48"/>
      <c r="Y101" s="221"/>
      <c r="Z101" s="221"/>
      <c r="AA101" s="445"/>
      <c r="AB101" s="445"/>
      <c r="AC101" s="445"/>
      <c r="AD101" s="445"/>
      <c r="AE101" s="445"/>
      <c r="AF101" s="445"/>
      <c r="AG101" s="221"/>
      <c r="AH101" s="221"/>
      <c r="AJ101" s="245"/>
      <c r="AK101" s="48"/>
      <c r="AL101" s="47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 s="244" customFormat="1">
      <c r="A102" s="48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6"/>
      <c r="M102" s="256"/>
      <c r="N102" s="257"/>
      <c r="O102" s="251"/>
      <c r="P102" s="251"/>
      <c r="Q102" s="251"/>
      <c r="R102" s="48"/>
      <c r="S102" s="48"/>
      <c r="T102" s="48"/>
      <c r="U102" s="48"/>
      <c r="V102" s="48"/>
      <c r="W102" s="48"/>
      <c r="X102" s="48"/>
      <c r="Y102" s="221"/>
      <c r="Z102" s="221"/>
      <c r="AA102" s="445"/>
      <c r="AB102" s="445"/>
      <c r="AC102" s="445"/>
      <c r="AD102" s="445"/>
      <c r="AE102" s="445"/>
      <c r="AF102" s="445"/>
      <c r="AG102" s="221"/>
      <c r="AH102" s="221"/>
      <c r="AJ102" s="245"/>
      <c r="AK102" s="48"/>
      <c r="AL102" s="47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 s="244" customFormat="1">
      <c r="A103" s="48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6"/>
      <c r="M103" s="256"/>
      <c r="N103" s="257"/>
      <c r="O103" s="251"/>
      <c r="P103" s="251"/>
      <c r="Q103" s="251"/>
      <c r="R103" s="48"/>
      <c r="S103" s="48"/>
      <c r="T103" s="48"/>
      <c r="U103" s="48"/>
      <c r="V103" s="48"/>
      <c r="W103" s="48"/>
      <c r="X103" s="48"/>
      <c r="Y103" s="221"/>
      <c r="Z103" s="221"/>
      <c r="AA103" s="445"/>
      <c r="AB103" s="445"/>
      <c r="AC103" s="445"/>
      <c r="AD103" s="445"/>
      <c r="AE103" s="445"/>
      <c r="AF103" s="445"/>
      <c r="AG103" s="221"/>
      <c r="AH103" s="221"/>
      <c r="AJ103" s="245"/>
      <c r="AK103" s="48"/>
      <c r="AL103" s="47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 s="244" customFormat="1">
      <c r="A104" s="48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6"/>
      <c r="M104" s="256"/>
      <c r="N104" s="257"/>
      <c r="O104" s="251"/>
      <c r="P104" s="251"/>
      <c r="Q104" s="251"/>
      <c r="R104" s="48"/>
      <c r="S104" s="48"/>
      <c r="T104" s="48"/>
      <c r="U104" s="48"/>
      <c r="V104" s="48"/>
      <c r="W104" s="48"/>
      <c r="X104" s="48"/>
      <c r="Y104" s="221"/>
      <c r="Z104" s="221"/>
      <c r="AA104" s="445"/>
      <c r="AB104" s="445"/>
      <c r="AC104" s="445"/>
      <c r="AD104" s="445"/>
      <c r="AE104" s="445"/>
      <c r="AF104" s="445"/>
      <c r="AG104" s="221"/>
      <c r="AH104" s="221"/>
      <c r="AJ104" s="245"/>
      <c r="AK104" s="48"/>
      <c r="AL104" s="47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 s="244" customFormat="1">
      <c r="A105" s="48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6"/>
      <c r="M105" s="256"/>
      <c r="N105" s="257"/>
      <c r="O105" s="251"/>
      <c r="P105" s="251"/>
      <c r="Q105" s="251"/>
      <c r="R105" s="48"/>
      <c r="S105" s="48"/>
      <c r="T105" s="48"/>
      <c r="U105" s="48"/>
      <c r="V105" s="48"/>
      <c r="W105" s="48"/>
      <c r="X105" s="48"/>
      <c r="Y105" s="221"/>
      <c r="Z105" s="221"/>
      <c r="AA105" s="445"/>
      <c r="AB105" s="445"/>
      <c r="AC105" s="445"/>
      <c r="AD105" s="445"/>
      <c r="AE105" s="445"/>
      <c r="AF105" s="445"/>
      <c r="AG105" s="221"/>
      <c r="AH105" s="221"/>
      <c r="AJ105" s="245"/>
      <c r="AK105" s="48"/>
      <c r="AL105" s="47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 s="244" customFormat="1">
      <c r="A106" s="48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6"/>
      <c r="M106" s="256"/>
      <c r="N106" s="257"/>
      <c r="O106" s="251"/>
      <c r="P106" s="251"/>
      <c r="Q106" s="251"/>
      <c r="R106" s="48"/>
      <c r="S106" s="48"/>
      <c r="T106" s="48"/>
      <c r="U106" s="48"/>
      <c r="V106" s="48"/>
      <c r="W106" s="48"/>
      <c r="X106" s="48"/>
      <c r="Y106" s="221"/>
      <c r="Z106" s="221"/>
      <c r="AA106" s="445"/>
      <c r="AB106" s="445"/>
      <c r="AC106" s="445"/>
      <c r="AD106" s="445"/>
      <c r="AE106" s="445"/>
      <c r="AF106" s="445"/>
      <c r="AG106" s="221"/>
      <c r="AH106" s="221"/>
      <c r="AJ106" s="245"/>
      <c r="AK106" s="48"/>
      <c r="AL106" s="47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 s="244" customFormat="1">
      <c r="A107" s="48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6"/>
      <c r="M107" s="256"/>
      <c r="N107" s="257"/>
      <c r="O107" s="251"/>
      <c r="P107" s="251"/>
      <c r="Q107" s="251"/>
      <c r="R107" s="48"/>
      <c r="S107" s="48"/>
      <c r="T107" s="48"/>
      <c r="U107" s="48"/>
      <c r="V107" s="48"/>
      <c r="W107" s="48"/>
      <c r="X107" s="48"/>
      <c r="Y107" s="221"/>
      <c r="Z107" s="221"/>
      <c r="AA107" s="445"/>
      <c r="AB107" s="445"/>
      <c r="AC107" s="445"/>
      <c r="AD107" s="445"/>
      <c r="AE107" s="445"/>
      <c r="AF107" s="445"/>
      <c r="AG107" s="221"/>
      <c r="AH107" s="221"/>
      <c r="AJ107" s="245"/>
      <c r="AK107" s="48"/>
      <c r="AL107" s="47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 s="244" customFormat="1">
      <c r="A108" s="48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6"/>
      <c r="M108" s="256"/>
      <c r="N108" s="257"/>
      <c r="O108" s="251"/>
      <c r="P108" s="251"/>
      <c r="Q108" s="251"/>
      <c r="R108" s="48"/>
      <c r="S108" s="48"/>
      <c r="T108" s="48"/>
      <c r="U108" s="48"/>
      <c r="V108" s="48"/>
      <c r="W108" s="48"/>
      <c r="X108" s="48"/>
      <c r="Y108" s="221"/>
      <c r="Z108" s="221"/>
      <c r="AA108" s="445"/>
      <c r="AB108" s="445"/>
      <c r="AC108" s="445"/>
      <c r="AD108" s="445"/>
      <c r="AE108" s="445"/>
      <c r="AF108" s="445"/>
      <c r="AG108" s="221"/>
      <c r="AH108" s="221"/>
      <c r="AJ108" s="245"/>
      <c r="AK108" s="48"/>
      <c r="AL108" s="47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 s="244" customFormat="1">
      <c r="A109" s="48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6"/>
      <c r="M109" s="256"/>
      <c r="N109" s="257"/>
      <c r="O109" s="251"/>
      <c r="P109" s="251"/>
      <c r="Q109" s="251"/>
      <c r="R109" s="48"/>
      <c r="S109" s="48"/>
      <c r="T109" s="48"/>
      <c r="U109" s="48"/>
      <c r="V109" s="48"/>
      <c r="W109" s="48"/>
      <c r="X109" s="48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J109" s="245"/>
      <c r="AK109" s="48"/>
      <c r="AL109" s="47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 s="244" customFormat="1">
      <c r="A110" s="48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6"/>
      <c r="M110" s="256"/>
      <c r="N110" s="257"/>
      <c r="O110" s="251"/>
      <c r="P110" s="251"/>
      <c r="Q110" s="251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J110" s="245"/>
      <c r="AK110" s="48"/>
      <c r="AL110" s="47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 s="244" customFormat="1">
      <c r="A111" s="48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6"/>
      <c r="M111" s="256"/>
      <c r="N111" s="257"/>
      <c r="O111" s="251"/>
      <c r="P111" s="251"/>
      <c r="Q111" s="251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J111" s="245"/>
      <c r="AK111" s="48"/>
      <c r="AL111" s="47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 s="244" customFormat="1">
      <c r="A112" s="48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6"/>
      <c r="M112" s="256"/>
      <c r="N112" s="257"/>
      <c r="O112" s="251"/>
      <c r="P112" s="251"/>
      <c r="Q112" s="251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J112" s="245"/>
      <c r="AK112" s="48"/>
      <c r="AL112" s="47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</sheetData>
  <mergeCells count="288">
    <mergeCell ref="AA104:AF104"/>
    <mergeCell ref="AA105:AF105"/>
    <mergeCell ref="AA106:AF106"/>
    <mergeCell ref="AA107:AF107"/>
    <mergeCell ref="AA108:AF108"/>
    <mergeCell ref="AA98:AF98"/>
    <mergeCell ref="AA99:AF99"/>
    <mergeCell ref="AA100:AF100"/>
    <mergeCell ref="AA101:AF101"/>
    <mergeCell ref="AA102:AF102"/>
    <mergeCell ref="AA103:AF103"/>
    <mergeCell ref="AA92:AF92"/>
    <mergeCell ref="AA93:AF93"/>
    <mergeCell ref="AA94:AF94"/>
    <mergeCell ref="AA95:AF95"/>
    <mergeCell ref="AA96:AF96"/>
    <mergeCell ref="AA97:AF97"/>
    <mergeCell ref="AQ82:AV82"/>
    <mergeCell ref="A83:J83"/>
    <mergeCell ref="T83:AF83"/>
    <mergeCell ref="U84:AF84"/>
    <mergeCell ref="U88:AF88"/>
    <mergeCell ref="AA91:AF91"/>
    <mergeCell ref="D82:E82"/>
    <mergeCell ref="F82:I82"/>
    <mergeCell ref="K82:S82"/>
    <mergeCell ref="T82:Y82"/>
    <mergeCell ref="Z82:AE82"/>
    <mergeCell ref="AF82:AJ82"/>
    <mergeCell ref="F81:I81"/>
    <mergeCell ref="K81:S81"/>
    <mergeCell ref="T81:Y81"/>
    <mergeCell ref="Z81:AE81"/>
    <mergeCell ref="AF81:AK81"/>
    <mergeCell ref="AQ81:AV81"/>
    <mergeCell ref="AQ79:AV79"/>
    <mergeCell ref="F80:I80"/>
    <mergeCell ref="K80:S80"/>
    <mergeCell ref="T80:Y80"/>
    <mergeCell ref="Z80:AE80"/>
    <mergeCell ref="AF80:AK80"/>
    <mergeCell ref="AQ80:AV80"/>
    <mergeCell ref="C79:E79"/>
    <mergeCell ref="F79:I79"/>
    <mergeCell ref="K79:S79"/>
    <mergeCell ref="T79:Y79"/>
    <mergeCell ref="Z79:AE79"/>
    <mergeCell ref="AF79:AK79"/>
    <mergeCell ref="AQ77:AV77"/>
    <mergeCell ref="C78:E78"/>
    <mergeCell ref="F78:I78"/>
    <mergeCell ref="K78:S78"/>
    <mergeCell ref="T78:Y78"/>
    <mergeCell ref="Z78:AE78"/>
    <mergeCell ref="AF78:AK78"/>
    <mergeCell ref="AQ78:AV78"/>
    <mergeCell ref="C77:E77"/>
    <mergeCell ref="F77:I77"/>
    <mergeCell ref="K77:S77"/>
    <mergeCell ref="T77:Y77"/>
    <mergeCell ref="Z77:AE77"/>
    <mergeCell ref="AF77:AK77"/>
    <mergeCell ref="AQ75:AV75"/>
    <mergeCell ref="C76:E76"/>
    <mergeCell ref="F76:I76"/>
    <mergeCell ref="K76:S76"/>
    <mergeCell ref="T76:Y76"/>
    <mergeCell ref="Z76:AE76"/>
    <mergeCell ref="AF76:AK76"/>
    <mergeCell ref="AQ76:AV76"/>
    <mergeCell ref="C75:E75"/>
    <mergeCell ref="F75:I75"/>
    <mergeCell ref="K75:S75"/>
    <mergeCell ref="T75:Y75"/>
    <mergeCell ref="Z75:AE75"/>
    <mergeCell ref="AF75:AK75"/>
    <mergeCell ref="AQ73:AV73"/>
    <mergeCell ref="C74:E74"/>
    <mergeCell ref="F74:I74"/>
    <mergeCell ref="K74:S74"/>
    <mergeCell ref="T74:Y74"/>
    <mergeCell ref="Z74:AE74"/>
    <mergeCell ref="AF74:AK74"/>
    <mergeCell ref="AQ74:AV74"/>
    <mergeCell ref="C73:E73"/>
    <mergeCell ref="F73:I73"/>
    <mergeCell ref="K73:S73"/>
    <mergeCell ref="T73:Y73"/>
    <mergeCell ref="Z73:AE73"/>
    <mergeCell ref="AF73:AK73"/>
    <mergeCell ref="AQ71:AV71"/>
    <mergeCell ref="C72:E72"/>
    <mergeCell ref="F72:I72"/>
    <mergeCell ref="K72:S72"/>
    <mergeCell ref="T72:Y72"/>
    <mergeCell ref="Z72:AE72"/>
    <mergeCell ref="AF72:AK72"/>
    <mergeCell ref="AQ72:AV72"/>
    <mergeCell ref="C71:E71"/>
    <mergeCell ref="F71:I71"/>
    <mergeCell ref="K71:S71"/>
    <mergeCell ref="T71:Y71"/>
    <mergeCell ref="Z71:AE71"/>
    <mergeCell ref="AF71:AK71"/>
    <mergeCell ref="AQ69:AV69"/>
    <mergeCell ref="C70:E70"/>
    <mergeCell ref="F70:I70"/>
    <mergeCell ref="K70:S70"/>
    <mergeCell ref="T70:Y70"/>
    <mergeCell ref="Z70:AE70"/>
    <mergeCell ref="AF70:AK70"/>
    <mergeCell ref="AQ70:AV70"/>
    <mergeCell ref="C69:E69"/>
    <mergeCell ref="F69:I69"/>
    <mergeCell ref="K69:S69"/>
    <mergeCell ref="T69:Y69"/>
    <mergeCell ref="Z69:AE69"/>
    <mergeCell ref="AF69:AK69"/>
    <mergeCell ref="C68:E68"/>
    <mergeCell ref="F68:I68"/>
    <mergeCell ref="K68:S68"/>
    <mergeCell ref="T68:Y68"/>
    <mergeCell ref="Z68:AE68"/>
    <mergeCell ref="AF68:AK68"/>
    <mergeCell ref="C67:E67"/>
    <mergeCell ref="F67:I67"/>
    <mergeCell ref="K67:S67"/>
    <mergeCell ref="T67:Y67"/>
    <mergeCell ref="Z67:AE67"/>
    <mergeCell ref="AF67:AK67"/>
    <mergeCell ref="C66:E66"/>
    <mergeCell ref="F66:I66"/>
    <mergeCell ref="K66:S66"/>
    <mergeCell ref="T66:Y66"/>
    <mergeCell ref="Z66:AE66"/>
    <mergeCell ref="AF66:AK66"/>
    <mergeCell ref="C65:E65"/>
    <mergeCell ref="F65:I65"/>
    <mergeCell ref="K65:S65"/>
    <mergeCell ref="T65:Y65"/>
    <mergeCell ref="Z65:AE65"/>
    <mergeCell ref="AF65:AK65"/>
    <mergeCell ref="T61:AJ61"/>
    <mergeCell ref="T62:Y63"/>
    <mergeCell ref="Z62:AE63"/>
    <mergeCell ref="AF62:AJ63"/>
    <mergeCell ref="C64:E64"/>
    <mergeCell ref="F64:I64"/>
    <mergeCell ref="K64:S64"/>
    <mergeCell ref="T64:Y64"/>
    <mergeCell ref="Z64:AE64"/>
    <mergeCell ref="AF64:AK64"/>
    <mergeCell ref="Y59:Z59"/>
    <mergeCell ref="AE59:AF59"/>
    <mergeCell ref="A60:J60"/>
    <mergeCell ref="K60:AJ60"/>
    <mergeCell ref="A61:A63"/>
    <mergeCell ref="B61:B63"/>
    <mergeCell ref="C61:E63"/>
    <mergeCell ref="F61:I63"/>
    <mergeCell ref="J61:J63"/>
    <mergeCell ref="K61:S63"/>
    <mergeCell ref="C57:G57"/>
    <mergeCell ref="I57:K57"/>
    <mergeCell ref="C58:G58"/>
    <mergeCell ref="I58:K58"/>
    <mergeCell ref="C59:G59"/>
    <mergeCell ref="S59:T59"/>
    <mergeCell ref="C52:G52"/>
    <mergeCell ref="C53:G53"/>
    <mergeCell ref="C54:G54"/>
    <mergeCell ref="I54:K54"/>
    <mergeCell ref="C55:G55"/>
    <mergeCell ref="C56:G56"/>
    <mergeCell ref="I56:K56"/>
    <mergeCell ref="C48:G48"/>
    <mergeCell ref="C49:G49"/>
    <mergeCell ref="C50:G50"/>
    <mergeCell ref="I50:K50"/>
    <mergeCell ref="C51:G51"/>
    <mergeCell ref="I51:K51"/>
    <mergeCell ref="C45:G45"/>
    <mergeCell ref="I45:K45"/>
    <mergeCell ref="C46:G46"/>
    <mergeCell ref="I46:K46"/>
    <mergeCell ref="C47:G47"/>
    <mergeCell ref="I47:K47"/>
    <mergeCell ref="AD42:AE42"/>
    <mergeCell ref="AF42:AG42"/>
    <mergeCell ref="AH42:AI42"/>
    <mergeCell ref="C43:G43"/>
    <mergeCell ref="I43:K43"/>
    <mergeCell ref="C44:G44"/>
    <mergeCell ref="I44:K44"/>
    <mergeCell ref="M41:M42"/>
    <mergeCell ref="N41:N42"/>
    <mergeCell ref="O41:AI41"/>
    <mergeCell ref="P42:Q42"/>
    <mergeCell ref="R42:S42"/>
    <mergeCell ref="T42:U42"/>
    <mergeCell ref="V42:W42"/>
    <mergeCell ref="X42:Y42"/>
    <mergeCell ref="Z42:AA42"/>
    <mergeCell ref="AB42:AC42"/>
    <mergeCell ref="C38:G38"/>
    <mergeCell ref="S38:T38"/>
    <mergeCell ref="Y38:Z38"/>
    <mergeCell ref="AE38:AF38"/>
    <mergeCell ref="C39:G39"/>
    <mergeCell ref="A40:A42"/>
    <mergeCell ref="B40:B42"/>
    <mergeCell ref="C40:G42"/>
    <mergeCell ref="H41:K42"/>
    <mergeCell ref="L41:L42"/>
    <mergeCell ref="A34:A37"/>
    <mergeCell ref="B34:B37"/>
    <mergeCell ref="C34:G34"/>
    <mergeCell ref="I34:J34"/>
    <mergeCell ref="C35:G35"/>
    <mergeCell ref="I35:J35"/>
    <mergeCell ref="C36:G36"/>
    <mergeCell ref="I36:J36"/>
    <mergeCell ref="C37:G37"/>
    <mergeCell ref="I37:J37"/>
    <mergeCell ref="I31:J31"/>
    <mergeCell ref="A32:A33"/>
    <mergeCell ref="B32:B33"/>
    <mergeCell ref="C32:G32"/>
    <mergeCell ref="I32:J32"/>
    <mergeCell ref="C33:G33"/>
    <mergeCell ref="I33:J33"/>
    <mergeCell ref="Y28:Z28"/>
    <mergeCell ref="AE28:AF28"/>
    <mergeCell ref="B29:G29"/>
    <mergeCell ref="I29:J29"/>
    <mergeCell ref="O29:AI29"/>
    <mergeCell ref="A30:A31"/>
    <mergeCell ref="B30:B31"/>
    <mergeCell ref="C30:G30"/>
    <mergeCell ref="I30:J30"/>
    <mergeCell ref="C31:G31"/>
    <mergeCell ref="C23:G23"/>
    <mergeCell ref="C24:G24"/>
    <mergeCell ref="C25:G25"/>
    <mergeCell ref="C26:G26"/>
    <mergeCell ref="C27:G27"/>
    <mergeCell ref="S28:T28"/>
    <mergeCell ref="C17:G17"/>
    <mergeCell ref="C18:G18"/>
    <mergeCell ref="C19:G19"/>
    <mergeCell ref="C20:G20"/>
    <mergeCell ref="C21:G21"/>
    <mergeCell ref="A22:B22"/>
    <mergeCell ref="C22:G22"/>
    <mergeCell ref="AB14:AC14"/>
    <mergeCell ref="AD14:AE14"/>
    <mergeCell ref="AF14:AG14"/>
    <mergeCell ref="AH14:AI14"/>
    <mergeCell ref="C15:G15"/>
    <mergeCell ref="C16:G16"/>
    <mergeCell ref="M13:M14"/>
    <mergeCell ref="N13:N14"/>
    <mergeCell ref="O13:AI13"/>
    <mergeCell ref="AJ13:AJ14"/>
    <mergeCell ref="P14:Q14"/>
    <mergeCell ref="R14:S14"/>
    <mergeCell ref="T14:U14"/>
    <mergeCell ref="V14:W14"/>
    <mergeCell ref="X14:Y14"/>
    <mergeCell ref="Z14:AA14"/>
    <mergeCell ref="W6:AJ6"/>
    <mergeCell ref="A7:B7"/>
    <mergeCell ref="W8:AJ8"/>
    <mergeCell ref="X11:AJ11"/>
    <mergeCell ref="A12:A14"/>
    <mergeCell ref="B12:B14"/>
    <mergeCell ref="C12:G14"/>
    <mergeCell ref="H13:J14"/>
    <mergeCell ref="K13:K14"/>
    <mergeCell ref="L13:L14"/>
    <mergeCell ref="Q1:X1"/>
    <mergeCell ref="Y1:AF1"/>
    <mergeCell ref="AG1:AJ1"/>
    <mergeCell ref="Q2:X2"/>
    <mergeCell ref="Y2:AF2"/>
    <mergeCell ref="Q3:X5"/>
    <mergeCell ref="Y3:AF5"/>
    <mergeCell ref="AG3:AJ5"/>
  </mergeCells>
  <printOptions horizontalCentered="1"/>
  <pageMargins left="0.35433070866141736" right="0.35433070866141736" top="0.35433070866141736" bottom="0.35433070866141736" header="0.19685039370078741" footer="0.19685039370078741"/>
  <pageSetup paperSize="8" scale="56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112"/>
  <sheetViews>
    <sheetView view="pageBreakPreview" zoomScale="70" zoomScaleNormal="100" zoomScaleSheetLayoutView="70" zoomScalePageLayoutView="70" workbookViewId="0">
      <selection activeCell="K7" sqref="K7"/>
    </sheetView>
  </sheetViews>
  <sheetFormatPr defaultRowHeight="15.75"/>
  <cols>
    <col min="1" max="1" width="7.28515625" style="48" customWidth="1"/>
    <col min="2" max="2" width="24" style="48" customWidth="1"/>
    <col min="3" max="3" width="2.85546875" style="48" customWidth="1"/>
    <col min="4" max="4" width="2.7109375" style="48" customWidth="1"/>
    <col min="5" max="5" width="10.85546875" style="48" customWidth="1"/>
    <col min="6" max="6" width="5.140625" style="48" customWidth="1"/>
    <col min="7" max="7" width="9.5703125" style="48" customWidth="1"/>
    <col min="8" max="8" width="4.7109375" style="48" customWidth="1"/>
    <col min="9" max="9" width="21.7109375" style="48" customWidth="1"/>
    <col min="10" max="10" width="36.5703125" style="48" bestFit="1" customWidth="1"/>
    <col min="11" max="11" width="10" style="48" customWidth="1"/>
    <col min="12" max="12" width="12.140625" style="253" customWidth="1"/>
    <col min="13" max="13" width="11.85546875" style="253" bestFit="1" customWidth="1"/>
    <col min="14" max="14" width="7.7109375" style="254" customWidth="1"/>
    <col min="15" max="33" width="2.7109375" style="48" customWidth="1"/>
    <col min="34" max="34" width="2.5703125" style="48" customWidth="1"/>
    <col min="35" max="35" width="6" style="244" customWidth="1"/>
    <col min="36" max="36" width="16.28515625" style="245" customWidth="1"/>
    <col min="37" max="37" width="0.85546875" style="48" hidden="1" customWidth="1"/>
    <col min="38" max="38" width="7.28515625" style="47" customWidth="1"/>
    <col min="39" max="39" width="6" style="48" customWidth="1"/>
    <col min="40" max="40" width="10.28515625" style="48" customWidth="1"/>
    <col min="41" max="41" width="7.42578125" style="48" hidden="1" customWidth="1"/>
    <col min="42" max="42" width="11" style="48" hidden="1" customWidth="1"/>
    <col min="43" max="47" width="10.28515625" style="48" customWidth="1"/>
    <col min="48" max="48" width="8.7109375" style="48" customWidth="1"/>
    <col min="49" max="49" width="10.28515625" style="48" customWidth="1"/>
    <col min="50" max="16384" width="9.140625" style="48"/>
  </cols>
  <sheetData>
    <row r="1" spans="1:42" s="1" customFormat="1" ht="70.5" customHeight="1">
      <c r="L1" s="2"/>
      <c r="M1" s="2"/>
      <c r="N1" s="3"/>
      <c r="Q1" s="269" t="s">
        <v>0</v>
      </c>
      <c r="R1" s="270"/>
      <c r="S1" s="270"/>
      <c r="T1" s="270"/>
      <c r="U1" s="270"/>
      <c r="V1" s="270"/>
      <c r="W1" s="270"/>
      <c r="X1" s="270"/>
      <c r="Y1" s="269" t="s">
        <v>87</v>
      </c>
      <c r="Z1" s="270"/>
      <c r="AA1" s="270"/>
      <c r="AB1" s="270"/>
      <c r="AC1" s="270"/>
      <c r="AD1" s="270"/>
      <c r="AE1" s="270"/>
      <c r="AF1" s="270"/>
      <c r="AG1" s="269" t="s">
        <v>1</v>
      </c>
      <c r="AH1" s="270"/>
      <c r="AI1" s="270"/>
      <c r="AJ1" s="270"/>
      <c r="AL1" s="4"/>
    </row>
    <row r="2" spans="1:42" s="1" customFormat="1" ht="23.25" customHeight="1">
      <c r="E2" s="5" t="s">
        <v>2</v>
      </c>
      <c r="F2" s="6"/>
      <c r="G2" s="6"/>
      <c r="H2" s="6"/>
      <c r="I2" s="5"/>
      <c r="J2" s="6"/>
      <c r="K2" s="6"/>
      <c r="L2" s="7"/>
      <c r="M2" s="7"/>
      <c r="N2" s="8"/>
      <c r="O2" s="6"/>
      <c r="P2" s="6"/>
      <c r="Q2" s="271"/>
      <c r="R2" s="272"/>
      <c r="S2" s="272"/>
      <c r="T2" s="272"/>
      <c r="U2" s="272"/>
      <c r="V2" s="272"/>
      <c r="W2" s="272"/>
      <c r="X2" s="273"/>
      <c r="Y2" s="271"/>
      <c r="Z2" s="272"/>
      <c r="AA2" s="272"/>
      <c r="AB2" s="272"/>
      <c r="AC2" s="272"/>
      <c r="AD2" s="272"/>
      <c r="AE2" s="272"/>
      <c r="AF2" s="273"/>
      <c r="AG2" s="9"/>
      <c r="AH2" s="10"/>
      <c r="AI2" s="10"/>
      <c r="AJ2" s="11"/>
      <c r="AL2" s="4"/>
    </row>
    <row r="3" spans="1:42" s="1" customFormat="1" ht="30.75" customHeight="1">
      <c r="E3" s="12" t="s">
        <v>4</v>
      </c>
      <c r="F3" s="5"/>
      <c r="G3" s="5"/>
      <c r="H3" s="5"/>
      <c r="I3" s="5"/>
      <c r="J3" s="5"/>
      <c r="K3" s="5"/>
      <c r="L3" s="13"/>
      <c r="M3" s="13"/>
      <c r="N3" s="14"/>
      <c r="O3" s="5"/>
      <c r="P3" s="15"/>
      <c r="Q3" s="274"/>
      <c r="R3" s="275"/>
      <c r="S3" s="275"/>
      <c r="T3" s="275"/>
      <c r="U3" s="275"/>
      <c r="V3" s="275"/>
      <c r="W3" s="275"/>
      <c r="X3" s="276"/>
      <c r="Y3" s="274"/>
      <c r="Z3" s="275"/>
      <c r="AA3" s="275"/>
      <c r="AB3" s="275"/>
      <c r="AC3" s="275"/>
      <c r="AD3" s="275"/>
      <c r="AE3" s="275"/>
      <c r="AF3" s="276"/>
      <c r="AG3" s="274"/>
      <c r="AH3" s="275"/>
      <c r="AI3" s="275"/>
      <c r="AJ3" s="276"/>
      <c r="AL3" s="4"/>
    </row>
    <row r="4" spans="1:42" s="1" customFormat="1" ht="15.75" customHeight="1">
      <c r="A4" s="16"/>
      <c r="B4" s="16"/>
      <c r="E4" s="5"/>
      <c r="F4" s="5"/>
      <c r="G4" s="5"/>
      <c r="H4" s="5"/>
      <c r="I4" s="5"/>
      <c r="J4" s="5"/>
      <c r="K4" s="5"/>
      <c r="L4" s="13"/>
      <c r="M4" s="13"/>
      <c r="N4" s="14"/>
      <c r="O4" s="5"/>
      <c r="P4" s="15"/>
      <c r="Q4" s="277"/>
      <c r="R4" s="278"/>
      <c r="S4" s="278"/>
      <c r="T4" s="278"/>
      <c r="U4" s="278"/>
      <c r="V4" s="278"/>
      <c r="W4" s="278"/>
      <c r="X4" s="279"/>
      <c r="Y4" s="277"/>
      <c r="Z4" s="278"/>
      <c r="AA4" s="278"/>
      <c r="AB4" s="278"/>
      <c r="AC4" s="278"/>
      <c r="AD4" s="278"/>
      <c r="AE4" s="278"/>
      <c r="AF4" s="279"/>
      <c r="AG4" s="277"/>
      <c r="AH4" s="278"/>
      <c r="AI4" s="278"/>
      <c r="AJ4" s="279"/>
      <c r="AL4" s="4"/>
    </row>
    <row r="5" spans="1:42" s="1" customFormat="1" ht="1.5" customHeight="1">
      <c r="E5" s="17"/>
      <c r="F5" s="17"/>
      <c r="G5" s="17"/>
      <c r="H5" s="17"/>
      <c r="I5" s="17"/>
      <c r="J5" s="17"/>
      <c r="L5" s="2"/>
      <c r="M5" s="2"/>
      <c r="N5" s="3"/>
      <c r="P5" s="18"/>
      <c r="Q5" s="280"/>
      <c r="R5" s="281"/>
      <c r="S5" s="281"/>
      <c r="T5" s="281"/>
      <c r="U5" s="281"/>
      <c r="V5" s="281"/>
      <c r="W5" s="281"/>
      <c r="X5" s="282"/>
      <c r="Y5" s="280"/>
      <c r="Z5" s="281"/>
      <c r="AA5" s="281"/>
      <c r="AB5" s="281"/>
      <c r="AC5" s="281"/>
      <c r="AD5" s="281"/>
      <c r="AE5" s="281"/>
      <c r="AF5" s="282"/>
      <c r="AG5" s="280"/>
      <c r="AH5" s="281"/>
      <c r="AI5" s="281"/>
      <c r="AJ5" s="282"/>
      <c r="AL5" s="4"/>
    </row>
    <row r="6" spans="1:42" s="1" customFormat="1" ht="15" customHeight="1">
      <c r="L6" s="2"/>
      <c r="M6" s="2"/>
      <c r="N6" s="3"/>
      <c r="W6" s="283" t="s">
        <v>86</v>
      </c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L6" s="4"/>
      <c r="AN6" s="1" t="str">
        <f>IF(AM6="","",IF(AM6&lt;&gt;0,VLOOKUP(AM6,$AF$106:$AG$116,2),0))</f>
        <v/>
      </c>
    </row>
    <row r="7" spans="1:42" s="1" customFormat="1" ht="18.75">
      <c r="A7" s="284" t="s">
        <v>5</v>
      </c>
      <c r="B7" s="284"/>
      <c r="D7" s="19" t="s">
        <v>6</v>
      </c>
      <c r="E7" s="20"/>
      <c r="F7" s="21"/>
      <c r="G7" s="21"/>
      <c r="H7" s="22"/>
      <c r="I7" s="22"/>
      <c r="J7" s="21"/>
      <c r="K7" s="21"/>
      <c r="L7" s="23"/>
      <c r="M7" s="23"/>
      <c r="N7" s="24"/>
      <c r="O7" s="21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L7" s="4"/>
    </row>
    <row r="8" spans="1:42" s="1" customFormat="1" ht="18.75">
      <c r="A8" s="26" t="s">
        <v>7</v>
      </c>
      <c r="B8" s="27"/>
      <c r="D8" s="20" t="s">
        <v>85</v>
      </c>
      <c r="E8" s="20"/>
      <c r="F8" s="21"/>
      <c r="G8" s="21"/>
      <c r="H8" s="22"/>
      <c r="I8" s="22"/>
      <c r="J8" s="21"/>
      <c r="K8" s="21"/>
      <c r="L8" s="23"/>
      <c r="M8" s="23"/>
      <c r="N8" s="24"/>
      <c r="O8" s="21"/>
      <c r="V8" s="28"/>
      <c r="W8" s="285" t="s">
        <v>8</v>
      </c>
      <c r="X8" s="285"/>
      <c r="Y8" s="285"/>
      <c r="Z8" s="285"/>
      <c r="AA8" s="285"/>
      <c r="AB8" s="285"/>
      <c r="AC8" s="285"/>
      <c r="AD8" s="285"/>
      <c r="AE8" s="285"/>
      <c r="AF8" s="285"/>
      <c r="AG8" s="285"/>
      <c r="AH8" s="285"/>
      <c r="AI8" s="285"/>
      <c r="AJ8" s="285"/>
      <c r="AL8" s="4"/>
    </row>
    <row r="9" spans="1:42" s="1" customFormat="1" ht="18.75">
      <c r="A9" s="29" t="s">
        <v>9</v>
      </c>
      <c r="B9" s="29"/>
      <c r="D9" s="20"/>
      <c r="E9" s="20"/>
      <c r="F9" s="22"/>
      <c r="G9" s="22"/>
      <c r="H9" s="21"/>
      <c r="I9" s="21"/>
      <c r="J9" s="21"/>
      <c r="K9" s="21"/>
      <c r="L9" s="23"/>
      <c r="M9" s="23"/>
      <c r="N9" s="24"/>
      <c r="O9" s="22"/>
      <c r="P9" s="30"/>
      <c r="Q9" s="30"/>
      <c r="R9" s="30"/>
      <c r="S9" s="30"/>
      <c r="T9" s="31"/>
      <c r="U9" s="31"/>
      <c r="V9" s="32"/>
      <c r="W9" s="32"/>
      <c r="AI9" s="33"/>
      <c r="AJ9" s="34"/>
      <c r="AL9" s="4"/>
    </row>
    <row r="10" spans="1:42" s="1" customFormat="1">
      <c r="A10" s="1" t="s">
        <v>10</v>
      </c>
      <c r="B10" s="35"/>
      <c r="D10" s="36" t="s">
        <v>11</v>
      </c>
      <c r="E10" s="36"/>
      <c r="F10" s="36"/>
      <c r="G10" s="36"/>
      <c r="H10" s="36"/>
      <c r="I10" s="36"/>
      <c r="J10" s="37"/>
      <c r="K10" s="38"/>
      <c r="L10" s="39"/>
      <c r="M10" s="39"/>
      <c r="N10" s="40"/>
      <c r="O10" s="41"/>
      <c r="P10" s="30"/>
      <c r="Q10" s="30"/>
      <c r="R10" s="30"/>
      <c r="S10" s="30"/>
      <c r="T10" s="31"/>
      <c r="U10" s="31"/>
      <c r="V10" s="32"/>
      <c r="W10" s="32"/>
      <c r="AI10" s="33"/>
      <c r="AJ10" s="34"/>
      <c r="AL10" s="4"/>
    </row>
    <row r="11" spans="1:42" s="1" customFormat="1" ht="36.75" customHeight="1">
      <c r="J11" s="42"/>
      <c r="K11" s="42"/>
      <c r="L11" s="2"/>
      <c r="M11" s="2"/>
      <c r="N11" s="3"/>
      <c r="X11" s="286" t="s">
        <v>12</v>
      </c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L11" s="4"/>
    </row>
    <row r="12" spans="1:42" ht="32.25" customHeight="1">
      <c r="A12" s="288" t="s">
        <v>13</v>
      </c>
      <c r="B12" s="291" t="s">
        <v>14</v>
      </c>
      <c r="C12" s="294" t="s">
        <v>15</v>
      </c>
      <c r="D12" s="295"/>
      <c r="E12" s="295"/>
      <c r="F12" s="295"/>
      <c r="G12" s="296"/>
      <c r="H12" s="43" t="s">
        <v>16</v>
      </c>
      <c r="I12" s="43"/>
      <c r="J12" s="43"/>
      <c r="K12" s="43"/>
      <c r="L12" s="43"/>
      <c r="M12" s="43"/>
      <c r="N12" s="44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3"/>
      <c r="AK12" s="46"/>
    </row>
    <row r="13" spans="1:42" ht="32.25" customHeight="1">
      <c r="A13" s="289"/>
      <c r="B13" s="292"/>
      <c r="C13" s="297"/>
      <c r="D13" s="298"/>
      <c r="E13" s="298"/>
      <c r="F13" s="298"/>
      <c r="G13" s="299"/>
      <c r="H13" s="303" t="s">
        <v>17</v>
      </c>
      <c r="I13" s="304"/>
      <c r="J13" s="305"/>
      <c r="K13" s="309" t="s">
        <v>18</v>
      </c>
      <c r="L13" s="311" t="s">
        <v>19</v>
      </c>
      <c r="M13" s="311" t="s">
        <v>20</v>
      </c>
      <c r="N13" s="317" t="s">
        <v>21</v>
      </c>
      <c r="O13" s="319" t="s">
        <v>22</v>
      </c>
      <c r="P13" s="320"/>
      <c r="Q13" s="320"/>
      <c r="R13" s="320"/>
      <c r="S13" s="320"/>
      <c r="T13" s="320"/>
      <c r="U13" s="320"/>
      <c r="V13" s="320"/>
      <c r="W13" s="320"/>
      <c r="X13" s="320"/>
      <c r="Y13" s="320"/>
      <c r="Z13" s="320"/>
      <c r="AA13" s="320"/>
      <c r="AB13" s="320"/>
      <c r="AC13" s="320"/>
      <c r="AD13" s="320"/>
      <c r="AE13" s="320"/>
      <c r="AF13" s="320"/>
      <c r="AG13" s="320"/>
      <c r="AH13" s="320"/>
      <c r="AI13" s="320"/>
      <c r="AJ13" s="321" t="s">
        <v>23</v>
      </c>
      <c r="AK13" s="49"/>
    </row>
    <row r="14" spans="1:42" ht="22.5" customHeight="1">
      <c r="A14" s="290"/>
      <c r="B14" s="293"/>
      <c r="C14" s="300"/>
      <c r="D14" s="301"/>
      <c r="E14" s="301"/>
      <c r="F14" s="301"/>
      <c r="G14" s="302"/>
      <c r="H14" s="306"/>
      <c r="I14" s="307"/>
      <c r="J14" s="308"/>
      <c r="K14" s="310"/>
      <c r="L14" s="312"/>
      <c r="M14" s="312"/>
      <c r="N14" s="318"/>
      <c r="O14" s="50"/>
      <c r="P14" s="313">
        <v>10</v>
      </c>
      <c r="Q14" s="313"/>
      <c r="R14" s="313">
        <v>20</v>
      </c>
      <c r="S14" s="313"/>
      <c r="T14" s="313">
        <v>30</v>
      </c>
      <c r="U14" s="313"/>
      <c r="V14" s="313">
        <v>40</v>
      </c>
      <c r="W14" s="313"/>
      <c r="X14" s="313">
        <v>50</v>
      </c>
      <c r="Y14" s="313"/>
      <c r="Z14" s="313">
        <v>60</v>
      </c>
      <c r="AA14" s="313"/>
      <c r="AB14" s="313">
        <v>70</v>
      </c>
      <c r="AC14" s="313"/>
      <c r="AD14" s="313">
        <v>80</v>
      </c>
      <c r="AE14" s="313"/>
      <c r="AF14" s="313">
        <v>90</v>
      </c>
      <c r="AG14" s="313"/>
      <c r="AH14" s="313">
        <v>100</v>
      </c>
      <c r="AI14" s="313"/>
      <c r="AJ14" s="322"/>
      <c r="AK14" s="49"/>
      <c r="AL14" s="51"/>
    </row>
    <row r="15" spans="1:42" ht="53.25" hidden="1" customHeight="1" thickBot="1">
      <c r="A15" s="52"/>
      <c r="B15" s="53"/>
      <c r="C15" s="461"/>
      <c r="D15" s="462"/>
      <c r="E15" s="462"/>
      <c r="F15" s="462"/>
      <c r="G15" s="463"/>
      <c r="H15" s="55" t="s">
        <v>24</v>
      </c>
      <c r="I15" s="56"/>
      <c r="J15" s="57"/>
      <c r="K15" s="58"/>
      <c r="L15" s="59"/>
      <c r="M15" s="59"/>
      <c r="N15" s="60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3"/>
      <c r="AJ15" s="64"/>
      <c r="AK15" s="49"/>
      <c r="AL15" s="51"/>
    </row>
    <row r="16" spans="1:42" ht="37.5" hidden="1" customHeight="1">
      <c r="A16" s="52"/>
      <c r="B16" s="53"/>
      <c r="C16" s="314"/>
      <c r="D16" s="315"/>
      <c r="E16" s="315"/>
      <c r="F16" s="315"/>
      <c r="G16" s="316"/>
      <c r="H16" s="65">
        <v>1</v>
      </c>
      <c r="I16" s="66"/>
      <c r="J16" s="67"/>
      <c r="K16" s="68"/>
      <c r="L16" s="69"/>
      <c r="M16" s="69"/>
      <c r="N16" s="70"/>
      <c r="O16" s="71" t="str">
        <f t="shared" ref="O16:O25" si="0">IF(AI16="","",IF(AI16&lt;&gt;0,VLOOKUP(AI16,$AO$16:$AP$16,2),0))</f>
        <v>-</v>
      </c>
      <c r="P16" s="72" t="str">
        <f t="shared" ref="P16:P25" si="1">IF(AI16="","",IF(AI16&gt;=0,VLOOKUP(AI16,$AO$17:$AP$17,2),0))</f>
        <v>-</v>
      </c>
      <c r="Q16" s="72" t="e">
        <f t="shared" ref="Q16:Q25" si="2">IF(AI16="","",IF(AI16&gt;=0,VLOOKUP(AI16,$AO$18:$AP$18,2),0))</f>
        <v>#N/A</v>
      </c>
      <c r="R16" s="72" t="e">
        <f t="shared" ref="R16:R25" si="3">IF(AI16="","",IF(AI16&gt;=0,VLOOKUP(AI16,$AO$19:$AP$19,2),0))</f>
        <v>#N/A</v>
      </c>
      <c r="S16" s="72" t="e">
        <f t="shared" ref="S16:S25" si="4">IF(AI16="","",IF(AI16&gt;=0,VLOOKUP(AI16,$AO$20:$AP$20,2),0))</f>
        <v>#N/A</v>
      </c>
      <c r="T16" s="72" t="e">
        <f t="shared" ref="T16:T25" si="5">IF(AI16="","",IF(AI16&gt;=0,VLOOKUP(AI16,$AO$21:$AP$21,2),0))</f>
        <v>#N/A</v>
      </c>
      <c r="U16" s="72" t="e">
        <f t="shared" ref="U16:U25" si="6">IF(AI16="","",IF(AI16&gt;=0,VLOOKUP(AI16,$AO$22:$AP$22,2),0))</f>
        <v>#N/A</v>
      </c>
      <c r="V16" s="72" t="e">
        <f t="shared" ref="V16:V25" si="7">IF(AI16="","",IF(AI16&gt;=0,VLOOKUP(AI16,$AO$23:$AP$23,2),0))</f>
        <v>#N/A</v>
      </c>
      <c r="W16" s="72" t="e">
        <f t="shared" ref="W16:W25" si="8">IF(AI16="","",IF(AI16&gt;=0,VLOOKUP(AI16,$AO$24:$AP$24,2),0))</f>
        <v>#N/A</v>
      </c>
      <c r="X16" s="72" t="e">
        <f t="shared" ref="X16:X25" si="9">IF(AI16="","",IF(AI16&gt;=0,VLOOKUP(AI16,$AO$25:$AP$25,2),0))</f>
        <v>#N/A</v>
      </c>
      <c r="Y16" s="72" t="e">
        <f t="shared" ref="Y16:Y25" si="10">IF(AI16="","",IF(AI16&gt;=0,VLOOKUP(AI16,$AO$26:$AP$26,2),0))</f>
        <v>#N/A</v>
      </c>
      <c r="Z16" s="72" t="e">
        <f t="shared" ref="Z16:Z25" si="11">IF(AI16="","",IF(AI16&gt;=0,VLOOKUP(AI16,$AO$27:$AP$27,2),0))</f>
        <v>#N/A</v>
      </c>
      <c r="AA16" s="72" t="e">
        <f t="shared" ref="AA16:AA27" si="12">IF(AI16="","",IF(AI16&gt;=0,VLOOKUP(AI16,$AO$59:$AP$59,2),0))</f>
        <v>#N/A</v>
      </c>
      <c r="AB16" s="72" t="e">
        <f t="shared" ref="AB16:AB27" si="13">IF(AI16="","",IF(AI16&gt;=0,VLOOKUP(AI16,$AO$59:$AP$59,2),0))</f>
        <v>#N/A</v>
      </c>
      <c r="AC16" s="72" t="e">
        <f t="shared" ref="AC16:AC27" si="14">IF(AI16="","",IF(AI16&gt;=0,VLOOKUP(AI16,$AO$61:$AP$61,2),0))</f>
        <v>#N/A</v>
      </c>
      <c r="AD16" s="72" t="e">
        <f t="shared" ref="AD16:AD27" si="15">IF(AI16="","",IF(AI16&gt;=0,VLOOKUP(AI16,$AO$62:$AP$62,2),0))</f>
        <v>#N/A</v>
      </c>
      <c r="AE16" s="72" t="e">
        <f t="shared" ref="AE16:AE27" si="16">IF(AI16="","",IF(AI16&gt;=0,VLOOKUP(AI16,$AO$63:$AP$63,2),0))</f>
        <v>#N/A</v>
      </c>
      <c r="AF16" s="72" t="e">
        <f t="shared" ref="AF16:AF27" si="17">IF(AI16="","",IF(AI16&gt;=0,VLOOKUP(AI16,$AO$64:$AP$64,2),0))</f>
        <v>#N/A</v>
      </c>
      <c r="AG16" s="72" t="e">
        <f t="shared" ref="AG16:AG27" si="18">IF(AI16="","",IF(AI16&gt;=0,VLOOKUP(AI16,$AO$65:$AP$65,2),0))</f>
        <v>#N/A</v>
      </c>
      <c r="AH16" s="72" t="e">
        <f t="shared" ref="AH16:AH27" si="19">IF(AI16="","",IF(AI16&gt;=0,VLOOKUP(AI16,$AO$66:$AP$66,2),0))</f>
        <v>#N/A</v>
      </c>
      <c r="AI16" s="73">
        <v>0.1</v>
      </c>
      <c r="AJ16" s="74" t="e">
        <f>#REF!*AI16</f>
        <v>#REF!</v>
      </c>
      <c r="AK16" s="49"/>
      <c r="AL16" s="75"/>
      <c r="AO16" s="76">
        <v>0.05</v>
      </c>
      <c r="AP16" s="77" t="s">
        <v>25</v>
      </c>
    </row>
    <row r="17" spans="1:42" ht="37.5" hidden="1" customHeight="1">
      <c r="A17" s="52"/>
      <c r="B17" s="53"/>
      <c r="C17" s="314"/>
      <c r="D17" s="315"/>
      <c r="E17" s="315"/>
      <c r="F17" s="315"/>
      <c r="G17" s="316"/>
      <c r="H17" s="78">
        <v>2</v>
      </c>
      <c r="I17" s="66"/>
      <c r="J17" s="67"/>
      <c r="K17" s="79"/>
      <c r="L17" s="80"/>
      <c r="M17" s="80"/>
      <c r="N17" s="81"/>
      <c r="O17" s="71">
        <f t="shared" si="0"/>
        <v>0</v>
      </c>
      <c r="P17" s="72" t="e">
        <f t="shared" si="1"/>
        <v>#N/A</v>
      </c>
      <c r="Q17" s="72" t="e">
        <f t="shared" si="2"/>
        <v>#N/A</v>
      </c>
      <c r="R17" s="72" t="e">
        <f t="shared" si="3"/>
        <v>#N/A</v>
      </c>
      <c r="S17" s="72" t="e">
        <f t="shared" si="4"/>
        <v>#N/A</v>
      </c>
      <c r="T17" s="72" t="e">
        <f t="shared" si="5"/>
        <v>#N/A</v>
      </c>
      <c r="U17" s="72" t="e">
        <f t="shared" si="6"/>
        <v>#N/A</v>
      </c>
      <c r="V17" s="72" t="e">
        <f t="shared" si="7"/>
        <v>#N/A</v>
      </c>
      <c r="W17" s="72" t="e">
        <f t="shared" si="8"/>
        <v>#N/A</v>
      </c>
      <c r="X17" s="72" t="e">
        <f t="shared" si="9"/>
        <v>#N/A</v>
      </c>
      <c r="Y17" s="72" t="e">
        <f t="shared" si="10"/>
        <v>#N/A</v>
      </c>
      <c r="Z17" s="72" t="e">
        <f t="shared" si="11"/>
        <v>#N/A</v>
      </c>
      <c r="AA17" s="72" t="e">
        <f t="shared" si="12"/>
        <v>#N/A</v>
      </c>
      <c r="AB17" s="72" t="e">
        <f t="shared" si="13"/>
        <v>#N/A</v>
      </c>
      <c r="AC17" s="72" t="e">
        <f t="shared" si="14"/>
        <v>#N/A</v>
      </c>
      <c r="AD17" s="72" t="e">
        <f t="shared" si="15"/>
        <v>#N/A</v>
      </c>
      <c r="AE17" s="72" t="e">
        <f t="shared" si="16"/>
        <v>#N/A</v>
      </c>
      <c r="AF17" s="72" t="e">
        <f t="shared" si="17"/>
        <v>#N/A</v>
      </c>
      <c r="AG17" s="72" t="e">
        <f t="shared" si="18"/>
        <v>#N/A</v>
      </c>
      <c r="AH17" s="72" t="e">
        <f t="shared" si="19"/>
        <v>#N/A</v>
      </c>
      <c r="AI17" s="73">
        <f t="shared" ref="AI17:AI27" si="20">AL17/100</f>
        <v>0</v>
      </c>
      <c r="AJ17" s="74" t="e">
        <f>#REF!*AI17</f>
        <v>#REF!</v>
      </c>
      <c r="AK17" s="49"/>
      <c r="AL17" s="82"/>
      <c r="AO17" s="83">
        <v>0.1</v>
      </c>
      <c r="AP17" s="84" t="s">
        <v>25</v>
      </c>
    </row>
    <row r="18" spans="1:42" ht="37.5" hidden="1" customHeight="1">
      <c r="A18" s="52"/>
      <c r="B18" s="53"/>
      <c r="C18" s="323"/>
      <c r="D18" s="315"/>
      <c r="E18" s="315"/>
      <c r="F18" s="315"/>
      <c r="G18" s="316"/>
      <c r="H18" s="78">
        <v>3</v>
      </c>
      <c r="I18" s="85"/>
      <c r="J18" s="86"/>
      <c r="K18" s="79"/>
      <c r="L18" s="80"/>
      <c r="M18" s="80"/>
      <c r="N18" s="81"/>
      <c r="O18" s="71">
        <f t="shared" si="0"/>
        <v>0</v>
      </c>
      <c r="P18" s="72" t="e">
        <f t="shared" si="1"/>
        <v>#N/A</v>
      </c>
      <c r="Q18" s="72" t="e">
        <f t="shared" si="2"/>
        <v>#N/A</v>
      </c>
      <c r="R18" s="72" t="e">
        <f t="shared" si="3"/>
        <v>#N/A</v>
      </c>
      <c r="S18" s="72" t="e">
        <f t="shared" si="4"/>
        <v>#N/A</v>
      </c>
      <c r="T18" s="72" t="e">
        <f t="shared" si="5"/>
        <v>#N/A</v>
      </c>
      <c r="U18" s="72" t="e">
        <f t="shared" si="6"/>
        <v>#N/A</v>
      </c>
      <c r="V18" s="72" t="e">
        <f t="shared" si="7"/>
        <v>#N/A</v>
      </c>
      <c r="W18" s="72" t="e">
        <f t="shared" si="8"/>
        <v>#N/A</v>
      </c>
      <c r="X18" s="72" t="e">
        <f t="shared" si="9"/>
        <v>#N/A</v>
      </c>
      <c r="Y18" s="72" t="e">
        <f t="shared" si="10"/>
        <v>#N/A</v>
      </c>
      <c r="Z18" s="72" t="e">
        <f t="shared" si="11"/>
        <v>#N/A</v>
      </c>
      <c r="AA18" s="72" t="e">
        <f t="shared" si="12"/>
        <v>#N/A</v>
      </c>
      <c r="AB18" s="72" t="e">
        <f t="shared" si="13"/>
        <v>#N/A</v>
      </c>
      <c r="AC18" s="72" t="e">
        <f t="shared" si="14"/>
        <v>#N/A</v>
      </c>
      <c r="AD18" s="72" t="e">
        <f t="shared" si="15"/>
        <v>#N/A</v>
      </c>
      <c r="AE18" s="72" t="e">
        <f t="shared" si="16"/>
        <v>#N/A</v>
      </c>
      <c r="AF18" s="72" t="e">
        <f t="shared" si="17"/>
        <v>#N/A</v>
      </c>
      <c r="AG18" s="72" t="e">
        <f t="shared" si="18"/>
        <v>#N/A</v>
      </c>
      <c r="AH18" s="72" t="e">
        <f t="shared" si="19"/>
        <v>#N/A</v>
      </c>
      <c r="AI18" s="73">
        <f t="shared" si="20"/>
        <v>0</v>
      </c>
      <c r="AJ18" s="74" t="e">
        <f>#REF!*AI18</f>
        <v>#REF!</v>
      </c>
      <c r="AK18" s="49"/>
      <c r="AL18" s="82"/>
      <c r="AO18" s="83">
        <v>0.15</v>
      </c>
      <c r="AP18" s="84" t="s">
        <v>25</v>
      </c>
    </row>
    <row r="19" spans="1:42" ht="37.5" hidden="1" customHeight="1">
      <c r="A19" s="52"/>
      <c r="B19" s="53"/>
      <c r="C19" s="314"/>
      <c r="D19" s="315"/>
      <c r="E19" s="315"/>
      <c r="F19" s="315"/>
      <c r="G19" s="316"/>
      <c r="H19" s="78">
        <v>4</v>
      </c>
      <c r="I19" s="85"/>
      <c r="J19" s="86"/>
      <c r="K19" s="79"/>
      <c r="L19" s="80"/>
      <c r="M19" s="80"/>
      <c r="N19" s="81"/>
      <c r="O19" s="71">
        <f t="shared" si="0"/>
        <v>0</v>
      </c>
      <c r="P19" s="72" t="e">
        <f t="shared" si="1"/>
        <v>#N/A</v>
      </c>
      <c r="Q19" s="72" t="e">
        <f t="shared" si="2"/>
        <v>#N/A</v>
      </c>
      <c r="R19" s="72" t="e">
        <f t="shared" si="3"/>
        <v>#N/A</v>
      </c>
      <c r="S19" s="72" t="e">
        <f t="shared" si="4"/>
        <v>#N/A</v>
      </c>
      <c r="T19" s="72" t="e">
        <f t="shared" si="5"/>
        <v>#N/A</v>
      </c>
      <c r="U19" s="72" t="e">
        <f t="shared" si="6"/>
        <v>#N/A</v>
      </c>
      <c r="V19" s="72" t="e">
        <f t="shared" si="7"/>
        <v>#N/A</v>
      </c>
      <c r="W19" s="72" t="e">
        <f t="shared" si="8"/>
        <v>#N/A</v>
      </c>
      <c r="X19" s="72" t="e">
        <f t="shared" si="9"/>
        <v>#N/A</v>
      </c>
      <c r="Y19" s="72" t="e">
        <f t="shared" si="10"/>
        <v>#N/A</v>
      </c>
      <c r="Z19" s="72" t="e">
        <f t="shared" si="11"/>
        <v>#N/A</v>
      </c>
      <c r="AA19" s="72" t="e">
        <f t="shared" si="12"/>
        <v>#N/A</v>
      </c>
      <c r="AB19" s="72" t="e">
        <f t="shared" si="13"/>
        <v>#N/A</v>
      </c>
      <c r="AC19" s="72" t="e">
        <f t="shared" si="14"/>
        <v>#N/A</v>
      </c>
      <c r="AD19" s="72" t="e">
        <f t="shared" si="15"/>
        <v>#N/A</v>
      </c>
      <c r="AE19" s="72" t="e">
        <f t="shared" si="16"/>
        <v>#N/A</v>
      </c>
      <c r="AF19" s="72" t="e">
        <f t="shared" si="17"/>
        <v>#N/A</v>
      </c>
      <c r="AG19" s="72" t="e">
        <f t="shared" si="18"/>
        <v>#N/A</v>
      </c>
      <c r="AH19" s="72" t="e">
        <f t="shared" si="19"/>
        <v>#N/A</v>
      </c>
      <c r="AI19" s="73">
        <f t="shared" si="20"/>
        <v>0</v>
      </c>
      <c r="AJ19" s="74" t="e">
        <f>#REF!*AI19</f>
        <v>#REF!</v>
      </c>
      <c r="AK19" s="49"/>
      <c r="AL19" s="82"/>
      <c r="AO19" s="83">
        <v>0.2</v>
      </c>
      <c r="AP19" s="84" t="s">
        <v>25</v>
      </c>
    </row>
    <row r="20" spans="1:42" ht="37.5" hidden="1" customHeight="1">
      <c r="A20" s="52"/>
      <c r="B20" s="54"/>
      <c r="C20" s="323"/>
      <c r="D20" s="315"/>
      <c r="E20" s="315"/>
      <c r="F20" s="315"/>
      <c r="G20" s="316"/>
      <c r="H20" s="78">
        <v>5</v>
      </c>
      <c r="I20" s="85"/>
      <c r="J20" s="86"/>
      <c r="K20" s="79"/>
      <c r="L20" s="80"/>
      <c r="M20" s="80"/>
      <c r="N20" s="81"/>
      <c r="O20" s="71">
        <f t="shared" si="0"/>
        <v>0</v>
      </c>
      <c r="P20" s="72" t="e">
        <f t="shared" si="1"/>
        <v>#N/A</v>
      </c>
      <c r="Q20" s="72" t="e">
        <f t="shared" si="2"/>
        <v>#N/A</v>
      </c>
      <c r="R20" s="72" t="e">
        <f t="shared" si="3"/>
        <v>#N/A</v>
      </c>
      <c r="S20" s="72" t="e">
        <f t="shared" si="4"/>
        <v>#N/A</v>
      </c>
      <c r="T20" s="72" t="e">
        <f t="shared" si="5"/>
        <v>#N/A</v>
      </c>
      <c r="U20" s="72" t="e">
        <f t="shared" si="6"/>
        <v>#N/A</v>
      </c>
      <c r="V20" s="72" t="e">
        <f t="shared" si="7"/>
        <v>#N/A</v>
      </c>
      <c r="W20" s="72" t="e">
        <f t="shared" si="8"/>
        <v>#N/A</v>
      </c>
      <c r="X20" s="72" t="e">
        <f t="shared" si="9"/>
        <v>#N/A</v>
      </c>
      <c r="Y20" s="72" t="e">
        <f t="shared" si="10"/>
        <v>#N/A</v>
      </c>
      <c r="Z20" s="72" t="e">
        <f t="shared" si="11"/>
        <v>#N/A</v>
      </c>
      <c r="AA20" s="72" t="e">
        <f t="shared" si="12"/>
        <v>#N/A</v>
      </c>
      <c r="AB20" s="72" t="e">
        <f t="shared" si="13"/>
        <v>#N/A</v>
      </c>
      <c r="AC20" s="72" t="e">
        <f t="shared" si="14"/>
        <v>#N/A</v>
      </c>
      <c r="AD20" s="72" t="e">
        <f t="shared" si="15"/>
        <v>#N/A</v>
      </c>
      <c r="AE20" s="72" t="e">
        <f t="shared" si="16"/>
        <v>#N/A</v>
      </c>
      <c r="AF20" s="72" t="e">
        <f t="shared" si="17"/>
        <v>#N/A</v>
      </c>
      <c r="AG20" s="72" t="e">
        <f t="shared" si="18"/>
        <v>#N/A</v>
      </c>
      <c r="AH20" s="72" t="e">
        <f t="shared" si="19"/>
        <v>#N/A</v>
      </c>
      <c r="AI20" s="73">
        <f t="shared" si="20"/>
        <v>0</v>
      </c>
      <c r="AJ20" s="74" t="e">
        <f>#REF!*AI20</f>
        <v>#REF!</v>
      </c>
      <c r="AK20" s="49"/>
      <c r="AL20" s="82"/>
      <c r="AO20" s="83">
        <v>0.25</v>
      </c>
      <c r="AP20" s="84" t="s">
        <v>25</v>
      </c>
    </row>
    <row r="21" spans="1:42" ht="37.5" hidden="1" customHeight="1">
      <c r="A21" s="87"/>
      <c r="B21" s="88"/>
      <c r="C21" s="314"/>
      <c r="D21" s="315"/>
      <c r="E21" s="315"/>
      <c r="F21" s="315"/>
      <c r="G21" s="316"/>
      <c r="H21" s="78">
        <v>6</v>
      </c>
      <c r="I21" s="85"/>
      <c r="J21" s="86"/>
      <c r="K21" s="79"/>
      <c r="L21" s="80"/>
      <c r="M21" s="80"/>
      <c r="N21" s="81"/>
      <c r="O21" s="71">
        <f t="shared" si="0"/>
        <v>0</v>
      </c>
      <c r="P21" s="72" t="e">
        <f t="shared" si="1"/>
        <v>#N/A</v>
      </c>
      <c r="Q21" s="72" t="e">
        <f t="shared" si="2"/>
        <v>#N/A</v>
      </c>
      <c r="R21" s="72" t="e">
        <f t="shared" si="3"/>
        <v>#N/A</v>
      </c>
      <c r="S21" s="72" t="e">
        <f t="shared" si="4"/>
        <v>#N/A</v>
      </c>
      <c r="T21" s="72" t="e">
        <f t="shared" si="5"/>
        <v>#N/A</v>
      </c>
      <c r="U21" s="72" t="e">
        <f t="shared" si="6"/>
        <v>#N/A</v>
      </c>
      <c r="V21" s="72" t="e">
        <f t="shared" si="7"/>
        <v>#N/A</v>
      </c>
      <c r="W21" s="72" t="e">
        <f t="shared" si="8"/>
        <v>#N/A</v>
      </c>
      <c r="X21" s="72" t="e">
        <f t="shared" si="9"/>
        <v>#N/A</v>
      </c>
      <c r="Y21" s="72" t="e">
        <f t="shared" si="10"/>
        <v>#N/A</v>
      </c>
      <c r="Z21" s="72" t="e">
        <f t="shared" si="11"/>
        <v>#N/A</v>
      </c>
      <c r="AA21" s="72" t="e">
        <f t="shared" si="12"/>
        <v>#N/A</v>
      </c>
      <c r="AB21" s="72" t="e">
        <f t="shared" si="13"/>
        <v>#N/A</v>
      </c>
      <c r="AC21" s="72" t="e">
        <f t="shared" si="14"/>
        <v>#N/A</v>
      </c>
      <c r="AD21" s="72" t="e">
        <f t="shared" si="15"/>
        <v>#N/A</v>
      </c>
      <c r="AE21" s="72" t="e">
        <f t="shared" si="16"/>
        <v>#N/A</v>
      </c>
      <c r="AF21" s="72" t="e">
        <f t="shared" si="17"/>
        <v>#N/A</v>
      </c>
      <c r="AG21" s="72" t="e">
        <f t="shared" si="18"/>
        <v>#N/A</v>
      </c>
      <c r="AH21" s="72" t="e">
        <f t="shared" si="19"/>
        <v>#N/A</v>
      </c>
      <c r="AI21" s="73">
        <f t="shared" si="20"/>
        <v>0</v>
      </c>
      <c r="AJ21" s="74" t="e">
        <f>#REF!*AI21</f>
        <v>#REF!</v>
      </c>
      <c r="AK21" s="49"/>
      <c r="AL21" s="82"/>
      <c r="AO21" s="83">
        <v>0.3</v>
      </c>
      <c r="AP21" s="84" t="s">
        <v>25</v>
      </c>
    </row>
    <row r="22" spans="1:42" ht="37.5" hidden="1" customHeight="1">
      <c r="A22" s="324" t="s">
        <v>26</v>
      </c>
      <c r="B22" s="325"/>
      <c r="C22" s="323"/>
      <c r="D22" s="315"/>
      <c r="E22" s="315"/>
      <c r="F22" s="315"/>
      <c r="G22" s="316"/>
      <c r="H22" s="78">
        <v>7</v>
      </c>
      <c r="I22" s="85"/>
      <c r="J22" s="86"/>
      <c r="K22" s="79"/>
      <c r="L22" s="80"/>
      <c r="M22" s="80"/>
      <c r="N22" s="81"/>
      <c r="O22" s="71">
        <f t="shared" si="0"/>
        <v>0</v>
      </c>
      <c r="P22" s="72" t="e">
        <f t="shared" si="1"/>
        <v>#N/A</v>
      </c>
      <c r="Q22" s="72" t="e">
        <f t="shared" si="2"/>
        <v>#N/A</v>
      </c>
      <c r="R22" s="72" t="e">
        <f t="shared" si="3"/>
        <v>#N/A</v>
      </c>
      <c r="S22" s="72" t="e">
        <f t="shared" si="4"/>
        <v>#N/A</v>
      </c>
      <c r="T22" s="72" t="e">
        <f t="shared" si="5"/>
        <v>#N/A</v>
      </c>
      <c r="U22" s="72" t="e">
        <f t="shared" si="6"/>
        <v>#N/A</v>
      </c>
      <c r="V22" s="72" t="e">
        <f t="shared" si="7"/>
        <v>#N/A</v>
      </c>
      <c r="W22" s="72" t="e">
        <f t="shared" si="8"/>
        <v>#N/A</v>
      </c>
      <c r="X22" s="72" t="e">
        <f t="shared" si="9"/>
        <v>#N/A</v>
      </c>
      <c r="Y22" s="72" t="e">
        <f t="shared" si="10"/>
        <v>#N/A</v>
      </c>
      <c r="Z22" s="72" t="e">
        <f t="shared" si="11"/>
        <v>#N/A</v>
      </c>
      <c r="AA22" s="72" t="e">
        <f t="shared" si="12"/>
        <v>#N/A</v>
      </c>
      <c r="AB22" s="72" t="e">
        <f t="shared" si="13"/>
        <v>#N/A</v>
      </c>
      <c r="AC22" s="72" t="e">
        <f t="shared" si="14"/>
        <v>#N/A</v>
      </c>
      <c r="AD22" s="72" t="e">
        <f t="shared" si="15"/>
        <v>#N/A</v>
      </c>
      <c r="AE22" s="72" t="e">
        <f t="shared" si="16"/>
        <v>#N/A</v>
      </c>
      <c r="AF22" s="72" t="e">
        <f t="shared" si="17"/>
        <v>#N/A</v>
      </c>
      <c r="AG22" s="72" t="e">
        <f t="shared" si="18"/>
        <v>#N/A</v>
      </c>
      <c r="AH22" s="72" t="e">
        <f t="shared" si="19"/>
        <v>#N/A</v>
      </c>
      <c r="AI22" s="73">
        <f t="shared" si="20"/>
        <v>0</v>
      </c>
      <c r="AJ22" s="74" t="e">
        <f>#REF!*AI22</f>
        <v>#REF!</v>
      </c>
      <c r="AK22" s="49"/>
      <c r="AL22" s="82"/>
      <c r="AO22" s="83">
        <v>0.35</v>
      </c>
      <c r="AP22" s="84" t="s">
        <v>25</v>
      </c>
    </row>
    <row r="23" spans="1:42" ht="37.5" hidden="1" customHeight="1">
      <c r="A23" s="89"/>
      <c r="B23" s="90"/>
      <c r="C23" s="323"/>
      <c r="D23" s="315"/>
      <c r="E23" s="315"/>
      <c r="F23" s="315"/>
      <c r="G23" s="316"/>
      <c r="H23" s="78">
        <v>8</v>
      </c>
      <c r="I23" s="85"/>
      <c r="J23" s="86"/>
      <c r="K23" s="79"/>
      <c r="L23" s="80"/>
      <c r="M23" s="80"/>
      <c r="N23" s="81"/>
      <c r="O23" s="71">
        <f t="shared" si="0"/>
        <v>0</v>
      </c>
      <c r="P23" s="72" t="e">
        <f t="shared" si="1"/>
        <v>#N/A</v>
      </c>
      <c r="Q23" s="72" t="e">
        <f t="shared" si="2"/>
        <v>#N/A</v>
      </c>
      <c r="R23" s="72" t="e">
        <f t="shared" si="3"/>
        <v>#N/A</v>
      </c>
      <c r="S23" s="72" t="e">
        <f t="shared" si="4"/>
        <v>#N/A</v>
      </c>
      <c r="T23" s="72" t="e">
        <f t="shared" si="5"/>
        <v>#N/A</v>
      </c>
      <c r="U23" s="72" t="e">
        <f t="shared" si="6"/>
        <v>#N/A</v>
      </c>
      <c r="V23" s="72" t="e">
        <f t="shared" si="7"/>
        <v>#N/A</v>
      </c>
      <c r="W23" s="72" t="e">
        <f t="shared" si="8"/>
        <v>#N/A</v>
      </c>
      <c r="X23" s="72" t="e">
        <f t="shared" si="9"/>
        <v>#N/A</v>
      </c>
      <c r="Y23" s="72" t="e">
        <f t="shared" si="10"/>
        <v>#N/A</v>
      </c>
      <c r="Z23" s="72" t="e">
        <f t="shared" si="11"/>
        <v>#N/A</v>
      </c>
      <c r="AA23" s="72" t="e">
        <f t="shared" si="12"/>
        <v>#N/A</v>
      </c>
      <c r="AB23" s="72" t="e">
        <f t="shared" si="13"/>
        <v>#N/A</v>
      </c>
      <c r="AC23" s="72" t="e">
        <f t="shared" si="14"/>
        <v>#N/A</v>
      </c>
      <c r="AD23" s="72" t="e">
        <f t="shared" si="15"/>
        <v>#N/A</v>
      </c>
      <c r="AE23" s="72" t="e">
        <f t="shared" si="16"/>
        <v>#N/A</v>
      </c>
      <c r="AF23" s="72" t="e">
        <f t="shared" si="17"/>
        <v>#N/A</v>
      </c>
      <c r="AG23" s="72" t="e">
        <f t="shared" si="18"/>
        <v>#N/A</v>
      </c>
      <c r="AH23" s="72" t="e">
        <f t="shared" si="19"/>
        <v>#N/A</v>
      </c>
      <c r="AI23" s="73">
        <f t="shared" si="20"/>
        <v>0</v>
      </c>
      <c r="AJ23" s="74" t="e">
        <f>#REF!*AI23</f>
        <v>#REF!</v>
      </c>
      <c r="AK23" s="49"/>
      <c r="AL23" s="82"/>
      <c r="AO23" s="83">
        <v>0.4</v>
      </c>
      <c r="AP23" s="84" t="s">
        <v>25</v>
      </c>
    </row>
    <row r="24" spans="1:42" ht="37.5" hidden="1" customHeight="1">
      <c r="A24" s="52"/>
      <c r="B24" s="54"/>
      <c r="C24" s="323"/>
      <c r="D24" s="315"/>
      <c r="E24" s="315"/>
      <c r="F24" s="315"/>
      <c r="G24" s="316"/>
      <c r="H24" s="78">
        <v>9</v>
      </c>
      <c r="I24" s="85"/>
      <c r="J24" s="86"/>
      <c r="K24" s="79"/>
      <c r="L24" s="80"/>
      <c r="M24" s="80"/>
      <c r="N24" s="81"/>
      <c r="O24" s="71">
        <f t="shared" si="0"/>
        <v>0</v>
      </c>
      <c r="P24" s="72" t="e">
        <f t="shared" si="1"/>
        <v>#N/A</v>
      </c>
      <c r="Q24" s="72" t="e">
        <f t="shared" si="2"/>
        <v>#N/A</v>
      </c>
      <c r="R24" s="72" t="e">
        <f t="shared" si="3"/>
        <v>#N/A</v>
      </c>
      <c r="S24" s="72" t="e">
        <f t="shared" si="4"/>
        <v>#N/A</v>
      </c>
      <c r="T24" s="72" t="e">
        <f t="shared" si="5"/>
        <v>#N/A</v>
      </c>
      <c r="U24" s="72" t="e">
        <f t="shared" si="6"/>
        <v>#N/A</v>
      </c>
      <c r="V24" s="72" t="e">
        <f t="shared" si="7"/>
        <v>#N/A</v>
      </c>
      <c r="W24" s="72" t="e">
        <f t="shared" si="8"/>
        <v>#N/A</v>
      </c>
      <c r="X24" s="72" t="e">
        <f t="shared" si="9"/>
        <v>#N/A</v>
      </c>
      <c r="Y24" s="72" t="e">
        <f t="shared" si="10"/>
        <v>#N/A</v>
      </c>
      <c r="Z24" s="72" t="e">
        <f t="shared" si="11"/>
        <v>#N/A</v>
      </c>
      <c r="AA24" s="72" t="e">
        <f t="shared" si="12"/>
        <v>#N/A</v>
      </c>
      <c r="AB24" s="72" t="e">
        <f t="shared" si="13"/>
        <v>#N/A</v>
      </c>
      <c r="AC24" s="72" t="e">
        <f t="shared" si="14"/>
        <v>#N/A</v>
      </c>
      <c r="AD24" s="72" t="e">
        <f t="shared" si="15"/>
        <v>#N/A</v>
      </c>
      <c r="AE24" s="72" t="e">
        <f t="shared" si="16"/>
        <v>#N/A</v>
      </c>
      <c r="AF24" s="72" t="e">
        <f t="shared" si="17"/>
        <v>#N/A</v>
      </c>
      <c r="AG24" s="72" t="e">
        <f t="shared" si="18"/>
        <v>#N/A</v>
      </c>
      <c r="AH24" s="72" t="e">
        <f t="shared" si="19"/>
        <v>#N/A</v>
      </c>
      <c r="AI24" s="73">
        <f t="shared" si="20"/>
        <v>0</v>
      </c>
      <c r="AJ24" s="74" t="e">
        <f>#REF!*AI24</f>
        <v>#REF!</v>
      </c>
      <c r="AK24" s="49"/>
      <c r="AL24" s="82"/>
      <c r="AO24" s="83">
        <v>0.45</v>
      </c>
      <c r="AP24" s="84" t="s">
        <v>25</v>
      </c>
    </row>
    <row r="25" spans="1:42" ht="37.5" hidden="1" customHeight="1">
      <c r="A25" s="52"/>
      <c r="B25" s="54"/>
      <c r="C25" s="323"/>
      <c r="D25" s="315"/>
      <c r="E25" s="315"/>
      <c r="F25" s="315"/>
      <c r="G25" s="316"/>
      <c r="H25" s="78">
        <v>10</v>
      </c>
      <c r="I25" s="85"/>
      <c r="J25" s="86"/>
      <c r="K25" s="79"/>
      <c r="L25" s="80"/>
      <c r="M25" s="80"/>
      <c r="N25" s="81"/>
      <c r="O25" s="71">
        <f t="shared" si="0"/>
        <v>0</v>
      </c>
      <c r="P25" s="72" t="e">
        <f t="shared" si="1"/>
        <v>#N/A</v>
      </c>
      <c r="Q25" s="72" t="e">
        <f t="shared" si="2"/>
        <v>#N/A</v>
      </c>
      <c r="R25" s="72" t="e">
        <f t="shared" si="3"/>
        <v>#N/A</v>
      </c>
      <c r="S25" s="72" t="e">
        <f t="shared" si="4"/>
        <v>#N/A</v>
      </c>
      <c r="T25" s="72" t="e">
        <f t="shared" si="5"/>
        <v>#N/A</v>
      </c>
      <c r="U25" s="72" t="e">
        <f t="shared" si="6"/>
        <v>#N/A</v>
      </c>
      <c r="V25" s="72" t="e">
        <f t="shared" si="7"/>
        <v>#N/A</v>
      </c>
      <c r="W25" s="72" t="e">
        <f t="shared" si="8"/>
        <v>#N/A</v>
      </c>
      <c r="X25" s="72" t="e">
        <f t="shared" si="9"/>
        <v>#N/A</v>
      </c>
      <c r="Y25" s="72" t="e">
        <f t="shared" si="10"/>
        <v>#N/A</v>
      </c>
      <c r="Z25" s="72" t="e">
        <f t="shared" si="11"/>
        <v>#N/A</v>
      </c>
      <c r="AA25" s="72" t="e">
        <f t="shared" si="12"/>
        <v>#N/A</v>
      </c>
      <c r="AB25" s="72" t="e">
        <f t="shared" si="13"/>
        <v>#N/A</v>
      </c>
      <c r="AC25" s="72" t="e">
        <f t="shared" si="14"/>
        <v>#N/A</v>
      </c>
      <c r="AD25" s="72" t="e">
        <f t="shared" si="15"/>
        <v>#N/A</v>
      </c>
      <c r="AE25" s="72" t="e">
        <f t="shared" si="16"/>
        <v>#N/A</v>
      </c>
      <c r="AF25" s="72" t="e">
        <f t="shared" si="17"/>
        <v>#N/A</v>
      </c>
      <c r="AG25" s="72" t="e">
        <f t="shared" si="18"/>
        <v>#N/A</v>
      </c>
      <c r="AH25" s="72" t="e">
        <f t="shared" si="19"/>
        <v>#N/A</v>
      </c>
      <c r="AI25" s="73">
        <f t="shared" si="20"/>
        <v>0</v>
      </c>
      <c r="AJ25" s="74" t="e">
        <f>#REF!*AI25</f>
        <v>#REF!</v>
      </c>
      <c r="AK25" s="49"/>
      <c r="AL25" s="82"/>
      <c r="AO25" s="83">
        <v>0.5</v>
      </c>
      <c r="AP25" s="84" t="s">
        <v>25</v>
      </c>
    </row>
    <row r="26" spans="1:42" ht="37.5" hidden="1" customHeight="1">
      <c r="A26" s="52"/>
      <c r="B26" s="54"/>
      <c r="C26" s="323"/>
      <c r="D26" s="315"/>
      <c r="E26" s="315"/>
      <c r="F26" s="315"/>
      <c r="G26" s="316"/>
      <c r="H26" s="78">
        <v>11</v>
      </c>
      <c r="I26" s="91"/>
      <c r="J26" s="92"/>
      <c r="K26" s="79"/>
      <c r="L26" s="80"/>
      <c r="M26" s="80"/>
      <c r="N26" s="81"/>
      <c r="O26" s="71">
        <f>IF(AI26="","",IF(AI26&lt;&gt;0,VLOOKUP(AI26,$AO$16:$AP$16,2),0))</f>
        <v>0</v>
      </c>
      <c r="P26" s="72" t="e">
        <f>IF(AI26="","",IF(AI26&gt;=0,VLOOKUP(AI26,$AO$17:$AP$17,2),0))</f>
        <v>#N/A</v>
      </c>
      <c r="Q26" s="72" t="e">
        <f>IF(AI26="","",IF(AI26&gt;=0,VLOOKUP(AI26,$AO$18:$AP$18,2),0))</f>
        <v>#N/A</v>
      </c>
      <c r="R26" s="72" t="e">
        <f>IF(AI26="","",IF(AI26&gt;=0,VLOOKUP(AI26,$AO$19:$AP$19,2),0))</f>
        <v>#N/A</v>
      </c>
      <c r="S26" s="72" t="e">
        <f>IF(AI26="","",IF(AI26&gt;=0,VLOOKUP(AI26,$AO$20:$AP$20,2),0))</f>
        <v>#N/A</v>
      </c>
      <c r="T26" s="72" t="e">
        <f>IF(AI26="","",IF(AI26&gt;=0,VLOOKUP(AI26,$AO$21:$AP$21,2),0))</f>
        <v>#N/A</v>
      </c>
      <c r="U26" s="72" t="e">
        <f>IF(AI26="","",IF(AI26&gt;=0,VLOOKUP(AI26,$AO$22:$AP$22,2),0))</f>
        <v>#N/A</v>
      </c>
      <c r="V26" s="72" t="e">
        <f>IF(AI26="","",IF(AI26&gt;=0,VLOOKUP(AI26,$AO$23:$AP$23,2),0))</f>
        <v>#N/A</v>
      </c>
      <c r="W26" s="72" t="e">
        <f>IF(AI26="","",IF(AI26&gt;=0,VLOOKUP(AI26,$AO$24:$AP$24,2),0))</f>
        <v>#N/A</v>
      </c>
      <c r="X26" s="72" t="e">
        <f>IF(AI26="","",IF(AI26&gt;=0,VLOOKUP(AI26,$AO$25:$AP$25,2),0))</f>
        <v>#N/A</v>
      </c>
      <c r="Y26" s="72" t="e">
        <f>IF(AI26="","",IF(AI26&gt;=0,VLOOKUP(AI26,$AO$26:$AP$26,2),0))</f>
        <v>#N/A</v>
      </c>
      <c r="Z26" s="72" t="e">
        <f>IF(AI26="","",IF(AI26&gt;=0,VLOOKUP(AI26,$AO$27:$AP$27,2),0))</f>
        <v>#N/A</v>
      </c>
      <c r="AA26" s="72" t="e">
        <f t="shared" si="12"/>
        <v>#N/A</v>
      </c>
      <c r="AB26" s="72" t="e">
        <f t="shared" si="13"/>
        <v>#N/A</v>
      </c>
      <c r="AC26" s="72" t="e">
        <f t="shared" si="14"/>
        <v>#N/A</v>
      </c>
      <c r="AD26" s="72" t="e">
        <f t="shared" si="15"/>
        <v>#N/A</v>
      </c>
      <c r="AE26" s="72" t="e">
        <f t="shared" si="16"/>
        <v>#N/A</v>
      </c>
      <c r="AF26" s="72" t="e">
        <f t="shared" si="17"/>
        <v>#N/A</v>
      </c>
      <c r="AG26" s="72" t="e">
        <f t="shared" si="18"/>
        <v>#N/A</v>
      </c>
      <c r="AH26" s="72" t="e">
        <f t="shared" si="19"/>
        <v>#N/A</v>
      </c>
      <c r="AI26" s="73">
        <f t="shared" si="20"/>
        <v>0</v>
      </c>
      <c r="AJ26" s="74" t="e">
        <f>#REF!*AI26</f>
        <v>#REF!</v>
      </c>
      <c r="AK26" s="49"/>
      <c r="AL26" s="82"/>
      <c r="AO26" s="83">
        <v>0.55000000000000004</v>
      </c>
      <c r="AP26" s="84" t="s">
        <v>25</v>
      </c>
    </row>
    <row r="27" spans="1:42" ht="37.5" hidden="1" customHeight="1">
      <c r="A27" s="52"/>
      <c r="B27" s="54"/>
      <c r="C27" s="323"/>
      <c r="D27" s="315"/>
      <c r="E27" s="315"/>
      <c r="F27" s="315"/>
      <c r="G27" s="316"/>
      <c r="H27" s="93">
        <v>12</v>
      </c>
      <c r="I27" s="91"/>
      <c r="J27" s="92"/>
      <c r="K27" s="94"/>
      <c r="L27" s="95"/>
      <c r="M27" s="95"/>
      <c r="N27" s="96"/>
      <c r="O27" s="71">
        <f>IF(AI27="","",IF(AI27&lt;&gt;0,VLOOKUP(AI27,$AO$16:$AP$16,2),0))</f>
        <v>0</v>
      </c>
      <c r="P27" s="72" t="e">
        <f>IF(AI27="","",IF(AI27&gt;=0,VLOOKUP(AI27,$AO$17:$AP$17,2),0))</f>
        <v>#N/A</v>
      </c>
      <c r="Q27" s="72" t="e">
        <f>IF(AI27="","",IF(AI27&gt;=0,VLOOKUP(AI27,$AO$18:$AP$18,2),0))</f>
        <v>#N/A</v>
      </c>
      <c r="R27" s="72" t="e">
        <f>IF(AI27="","",IF(AI27&gt;=0,VLOOKUP(AI27,$AO$19:$AP$19,2),0))</f>
        <v>#N/A</v>
      </c>
      <c r="S27" s="72" t="e">
        <f>IF(AI27="","",IF(AI27&gt;=0,VLOOKUP(AI27,$AO$20:$AP$20,2),0))</f>
        <v>#N/A</v>
      </c>
      <c r="T27" s="72" t="e">
        <f>IF(AI27="","",IF(AI27&gt;=0,VLOOKUP(AI27,$AO$21:$AP$21,2),0))</f>
        <v>#N/A</v>
      </c>
      <c r="U27" s="72" t="e">
        <f>IF(AI27="","",IF(AI27&gt;=0,VLOOKUP(AI27,$AO$22:$AP$22,2),0))</f>
        <v>#N/A</v>
      </c>
      <c r="V27" s="72" t="e">
        <f>IF(AI27="","",IF(AI27&gt;=0,VLOOKUP(AI27,$AO$23:$AP$23,2),0))</f>
        <v>#N/A</v>
      </c>
      <c r="W27" s="72" t="e">
        <f>IF(AI27="","",IF(AI27&gt;=0,VLOOKUP(AI27,$AO$24:$AP$24,2),0))</f>
        <v>#N/A</v>
      </c>
      <c r="X27" s="72" t="e">
        <f>IF(AI27="","",IF(AI27&gt;=0,VLOOKUP(AI27,$AO$25:$AP$25,2),0))</f>
        <v>#N/A</v>
      </c>
      <c r="Y27" s="72" t="e">
        <f>IF(AI27="","",IF(AI27&gt;=0,VLOOKUP(AI27,$AO$26:$AP$26,2),0))</f>
        <v>#N/A</v>
      </c>
      <c r="Z27" s="72" t="e">
        <f>IF(AI27="","",IF(AI27&gt;=0,VLOOKUP(AI27,$AO$27:$AP$27,2),0))</f>
        <v>#N/A</v>
      </c>
      <c r="AA27" s="72" t="e">
        <f t="shared" si="12"/>
        <v>#N/A</v>
      </c>
      <c r="AB27" s="72" t="e">
        <f t="shared" si="13"/>
        <v>#N/A</v>
      </c>
      <c r="AC27" s="72" t="e">
        <f t="shared" si="14"/>
        <v>#N/A</v>
      </c>
      <c r="AD27" s="72" t="e">
        <f t="shared" si="15"/>
        <v>#N/A</v>
      </c>
      <c r="AE27" s="72" t="e">
        <f t="shared" si="16"/>
        <v>#N/A</v>
      </c>
      <c r="AF27" s="72" t="e">
        <f t="shared" si="17"/>
        <v>#N/A</v>
      </c>
      <c r="AG27" s="72" t="e">
        <f t="shared" si="18"/>
        <v>#N/A</v>
      </c>
      <c r="AH27" s="72" t="e">
        <f t="shared" si="19"/>
        <v>#N/A</v>
      </c>
      <c r="AI27" s="73">
        <f t="shared" si="20"/>
        <v>0</v>
      </c>
      <c r="AJ27" s="97" t="e">
        <f>#REF!*AI27</f>
        <v>#REF!</v>
      </c>
      <c r="AK27" s="49"/>
      <c r="AL27" s="82"/>
      <c r="AO27" s="83">
        <v>0.6</v>
      </c>
      <c r="AP27" s="84" t="s">
        <v>25</v>
      </c>
    </row>
    <row r="28" spans="1:42" ht="34.5" hidden="1" customHeight="1">
      <c r="A28" s="87"/>
      <c r="B28" s="88"/>
      <c r="C28" s="98"/>
      <c r="D28" s="99"/>
      <c r="E28" s="99"/>
      <c r="F28" s="99"/>
      <c r="G28" s="88"/>
      <c r="H28" s="100" t="s">
        <v>27</v>
      </c>
      <c r="I28" s="101"/>
      <c r="J28" s="102"/>
      <c r="K28" s="103"/>
      <c r="L28" s="104"/>
      <c r="M28" s="104"/>
      <c r="N28" s="105"/>
      <c r="O28" s="106"/>
      <c r="P28" s="107"/>
      <c r="Q28" s="107"/>
      <c r="R28" s="107"/>
      <c r="S28" s="326"/>
      <c r="T28" s="326"/>
      <c r="U28" s="107"/>
      <c r="V28" s="107"/>
      <c r="W28" s="107"/>
      <c r="X28" s="107"/>
      <c r="Y28" s="326"/>
      <c r="Z28" s="326"/>
      <c r="AA28" s="108"/>
      <c r="AB28" s="108"/>
      <c r="AC28" s="108"/>
      <c r="AD28" s="107"/>
      <c r="AE28" s="326"/>
      <c r="AF28" s="326"/>
      <c r="AG28" s="107"/>
      <c r="AH28" s="107"/>
      <c r="AI28" s="109"/>
      <c r="AJ28" s="110" t="e">
        <f>SUM(AJ1:AJ16)</f>
        <v>#REF!</v>
      </c>
      <c r="AK28" s="49"/>
      <c r="AL28" s="82"/>
      <c r="AO28" s="83">
        <v>0.7</v>
      </c>
      <c r="AP28" s="84" t="s">
        <v>25</v>
      </c>
    </row>
    <row r="29" spans="1:42" ht="21.75" customHeight="1">
      <c r="A29" s="111" t="s">
        <v>28</v>
      </c>
      <c r="B29" s="327" t="s">
        <v>29</v>
      </c>
      <c r="C29" s="328"/>
      <c r="D29" s="328"/>
      <c r="E29" s="328"/>
      <c r="F29" s="328"/>
      <c r="G29" s="329"/>
      <c r="H29" s="112" t="s">
        <v>13</v>
      </c>
      <c r="I29" s="319" t="s">
        <v>30</v>
      </c>
      <c r="J29" s="319"/>
      <c r="K29" s="113"/>
      <c r="L29" s="114"/>
      <c r="M29" s="114"/>
      <c r="N29" s="115"/>
      <c r="O29" s="330" t="str">
        <f t="shared" ref="O29:O37" si="21">IF(AI29="","",IF(AI29&lt;&gt;0,VLOOKUP(AI29,$AO$16:$AP$16,2),0))</f>
        <v/>
      </c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2"/>
      <c r="AJ29" s="116"/>
      <c r="AK29" s="117"/>
      <c r="AL29" s="82"/>
      <c r="AO29" s="83">
        <v>0.8</v>
      </c>
      <c r="AP29" s="84" t="s">
        <v>25</v>
      </c>
    </row>
    <row r="30" spans="1:42" ht="21.75" customHeight="1">
      <c r="A30" s="479">
        <v>1</v>
      </c>
      <c r="B30" s="339" t="s">
        <v>31</v>
      </c>
      <c r="C30" s="341"/>
      <c r="D30" s="341"/>
      <c r="E30" s="341"/>
      <c r="F30" s="341"/>
      <c r="G30" s="342"/>
      <c r="H30" s="118">
        <v>1</v>
      </c>
      <c r="I30" s="343" t="s">
        <v>32</v>
      </c>
      <c r="J30" s="344"/>
      <c r="K30" s="119">
        <v>5</v>
      </c>
      <c r="L30" s="114"/>
      <c r="M30" s="114"/>
      <c r="N30" s="115"/>
      <c r="O30" s="120" t="str">
        <f t="shared" si="21"/>
        <v/>
      </c>
      <c r="P30" s="120" t="str">
        <f t="shared" ref="P30:P37" si="22">IF(AI30="","",IF(AI30&gt;=0,VLOOKUP(AI30,$AO$17:$AP$17,2),0))</f>
        <v/>
      </c>
      <c r="Q30" s="120" t="str">
        <f t="shared" ref="Q30:Q37" si="23">IF(AI30="","",IF(AI30&gt;=0,VLOOKUP(AI30,$AO$18:$AP$18,2),0))</f>
        <v/>
      </c>
      <c r="R30" s="120" t="str">
        <f t="shared" ref="R30:R37" si="24">IF(AI30="","",IF(AI30&gt;=0,VLOOKUP(AI30,$AO$19:$AP$19,2),0))</f>
        <v/>
      </c>
      <c r="S30" s="120" t="str">
        <f t="shared" ref="S30:S37" si="25">IF(AI30="","",IF(AI30&gt;=0,VLOOKUP(AI30,$AO$20:$AP$20,2),0))</f>
        <v/>
      </c>
      <c r="T30" s="120" t="str">
        <f t="shared" ref="T30:T37" si="26">IF(AI30="","",IF(AI30&gt;=0,VLOOKUP(AI30,$AO$21:$AP$21,2),0))</f>
        <v/>
      </c>
      <c r="U30" s="120" t="str">
        <f t="shared" ref="U30:U37" si="27">IF(AI30="","",IF(AI30&gt;=0,VLOOKUP(AI30,$AO$22:$AP$22,2),0))</f>
        <v/>
      </c>
      <c r="V30" s="120" t="str">
        <f t="shared" ref="V30:V37" si="28">IF(AI30="","",IF(AI30&gt;=0,VLOOKUP(AI30,$AO$23:$AP$23,2),0))</f>
        <v/>
      </c>
      <c r="W30" s="120" t="str">
        <f t="shared" ref="W30:W37" si="29">IF(AI30="","",IF(AI30&gt;=0,VLOOKUP(AI30,$AO$24:$AP$24,2),0))</f>
        <v/>
      </c>
      <c r="X30" s="120" t="str">
        <f t="shared" ref="X30:X37" si="30">IF(AI30="","",IF(AI30&gt;=0,VLOOKUP(AI30,$AO$25:$AP$25,2),0))</f>
        <v/>
      </c>
      <c r="Y30" s="120" t="str">
        <f t="shared" ref="Y30:Y37" si="31">IF(AI30="","",IF(AI30&gt;=0,VLOOKUP(AI30,$AO$26:$AP$26,2),0))</f>
        <v/>
      </c>
      <c r="Z30" s="120" t="str">
        <f t="shared" ref="Z30:Z37" si="32">IF(AI30="","",IF(AI30&gt;=0,VLOOKUP(AI30,$AO$27:$AP$27,2),0))</f>
        <v/>
      </c>
      <c r="AA30" s="120" t="str">
        <f>IF(AI30="","",IF(AI30&gt;=0,VLOOKUP(AI30,$AO$59:$AP$59,2),0))</f>
        <v/>
      </c>
      <c r="AB30" s="120" t="str">
        <f>IF(AI30="","",IF(AI30&gt;=0,VLOOKUP(AI30,$AO$59:$AP$59,2),0))</f>
        <v/>
      </c>
      <c r="AC30" s="120" t="str">
        <f>IF(AI30="","",IF(AI30&gt;=0,VLOOKUP(AI30,$AO$61:$AP$61,2),0))</f>
        <v/>
      </c>
      <c r="AD30" s="120" t="str">
        <f>IF(AI30="","",IF(AI30&gt;=0,VLOOKUP(AI30,$AO$62:$AP$62,2),0))</f>
        <v/>
      </c>
      <c r="AE30" s="120" t="str">
        <f>IF(AI30="","",IF(AI30&gt;=0,VLOOKUP(AI30,$AO$63:$AP$63,2),0))</f>
        <v/>
      </c>
      <c r="AF30" s="120" t="str">
        <f>IF(AI30="","",IF(AI30&gt;=0,VLOOKUP(AI30,$AO$64:$AP$64,2),0))</f>
        <v/>
      </c>
      <c r="AG30" s="120" t="str">
        <f>IF(AI30="","",IF(AI30&gt;=0,VLOOKUP(AI30,$AO$65:$AP$65,2),0))</f>
        <v/>
      </c>
      <c r="AH30" s="120" t="str">
        <f>IF(AI30="","",IF(AI30&gt;=0,VLOOKUP(AI30,$AO$66:$AP$66,2),0))</f>
        <v/>
      </c>
      <c r="AI30" s="121"/>
      <c r="AJ30" s="122"/>
      <c r="AK30" s="117"/>
      <c r="AL30" s="82"/>
      <c r="AO30" s="83"/>
      <c r="AP30" s="84"/>
    </row>
    <row r="31" spans="1:42" ht="21.75" customHeight="1">
      <c r="A31" s="480"/>
      <c r="B31" s="340"/>
      <c r="C31" s="341"/>
      <c r="D31" s="341"/>
      <c r="E31" s="341"/>
      <c r="F31" s="341"/>
      <c r="G31" s="342"/>
      <c r="H31" s="118">
        <v>2</v>
      </c>
      <c r="I31" s="343" t="s">
        <v>79</v>
      </c>
      <c r="J31" s="344"/>
      <c r="K31" s="119">
        <v>1</v>
      </c>
      <c r="L31" s="114"/>
      <c r="M31" s="114"/>
      <c r="N31" s="115"/>
      <c r="O31" s="120" t="str">
        <f t="shared" si="21"/>
        <v/>
      </c>
      <c r="P31" s="120" t="str">
        <f t="shared" si="22"/>
        <v/>
      </c>
      <c r="Q31" s="120" t="str">
        <f t="shared" si="23"/>
        <v/>
      </c>
      <c r="R31" s="120" t="str">
        <f t="shared" si="24"/>
        <v/>
      </c>
      <c r="S31" s="120" t="str">
        <f t="shared" si="25"/>
        <v/>
      </c>
      <c r="T31" s="120" t="str">
        <f t="shared" si="26"/>
        <v/>
      </c>
      <c r="U31" s="120" t="str">
        <f t="shared" si="27"/>
        <v/>
      </c>
      <c r="V31" s="120" t="str">
        <f t="shared" si="28"/>
        <v/>
      </c>
      <c r="W31" s="120" t="str">
        <f t="shared" si="29"/>
        <v/>
      </c>
      <c r="X31" s="120" t="str">
        <f t="shared" si="30"/>
        <v/>
      </c>
      <c r="Y31" s="120" t="str">
        <f t="shared" si="31"/>
        <v/>
      </c>
      <c r="Z31" s="120" t="str">
        <f t="shared" si="32"/>
        <v/>
      </c>
      <c r="AA31" s="120" t="str">
        <f>IF(AI31="","",IF(AI31&gt;=0,VLOOKUP(AI31,$AO$59:$AP$59,2),0))</f>
        <v/>
      </c>
      <c r="AB31" s="120" t="str">
        <f>IF(AI31="","",IF(AI31&gt;=0,VLOOKUP(AI31,$AO$59:$AP$59,2),0))</f>
        <v/>
      </c>
      <c r="AC31" s="120" t="str">
        <f>IF(AI31="","",IF(AI31&gt;=0,VLOOKUP(AI31,$AO$61:$AP$61,2),0))</f>
        <v/>
      </c>
      <c r="AD31" s="120" t="str">
        <f>IF(AI31="","",IF(AI31&gt;=0,VLOOKUP(AI31,$AO$62:$AP$62,2),0))</f>
        <v/>
      </c>
      <c r="AE31" s="120" t="str">
        <f>IF(AI31="","",IF(AI31&gt;=0,VLOOKUP(AI31,$AO$63:$AP$63,2),0))</f>
        <v/>
      </c>
      <c r="AF31" s="120" t="str">
        <f>IF(AI31="","",IF(AI31&gt;=0,VLOOKUP(AI31,$AO$64:$AP$64,2),0))</f>
        <v/>
      </c>
      <c r="AG31" s="120" t="str">
        <f>IF(AI31="","",IF(AI31&gt;=0,VLOOKUP(AI31,$AO$65:$AP$65,2),0))</f>
        <v/>
      </c>
      <c r="AH31" s="120" t="str">
        <f>IF(AI31="","",IF(AI31&gt;=0,VLOOKUP(AI31,$AO$66:$AP$66,2),0))</f>
        <v/>
      </c>
      <c r="AI31" s="121"/>
      <c r="AJ31" s="122"/>
      <c r="AK31" s="117"/>
      <c r="AL31" s="82"/>
      <c r="AO31" s="83"/>
      <c r="AP31" s="84"/>
    </row>
    <row r="32" spans="1:42" ht="21.75" customHeight="1">
      <c r="A32" s="479">
        <v>2</v>
      </c>
      <c r="B32" s="339" t="s">
        <v>80</v>
      </c>
      <c r="C32" s="481" t="s">
        <v>84</v>
      </c>
      <c r="D32" s="482"/>
      <c r="E32" s="482"/>
      <c r="F32" s="482"/>
      <c r="G32" s="483"/>
      <c r="H32" s="118">
        <v>1</v>
      </c>
      <c r="I32" s="343" t="s">
        <v>81</v>
      </c>
      <c r="J32" s="344"/>
      <c r="K32" s="119"/>
      <c r="L32" s="114"/>
      <c r="M32" s="114"/>
      <c r="N32" s="115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1"/>
      <c r="AJ32" s="122" t="s">
        <v>88</v>
      </c>
      <c r="AK32" s="117"/>
      <c r="AL32" s="82"/>
      <c r="AO32" s="83"/>
      <c r="AP32" s="84"/>
    </row>
    <row r="33" spans="1:42" ht="21.75" customHeight="1">
      <c r="A33" s="480"/>
      <c r="B33" s="340"/>
      <c r="C33" s="481" t="s">
        <v>84</v>
      </c>
      <c r="D33" s="482"/>
      <c r="E33" s="482"/>
      <c r="F33" s="482"/>
      <c r="G33" s="483"/>
      <c r="H33" s="118">
        <v>2</v>
      </c>
      <c r="I33" s="343" t="s">
        <v>82</v>
      </c>
      <c r="J33" s="344"/>
      <c r="K33" s="119"/>
      <c r="L33" s="114"/>
      <c r="M33" s="114"/>
      <c r="N33" s="115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1"/>
      <c r="AJ33" s="122"/>
      <c r="AK33" s="117"/>
      <c r="AL33" s="82"/>
      <c r="AO33" s="83"/>
      <c r="AP33" s="84"/>
    </row>
    <row r="34" spans="1:42" ht="37.5">
      <c r="A34" s="476">
        <v>3</v>
      </c>
      <c r="B34" s="339" t="s">
        <v>78</v>
      </c>
      <c r="C34" s="334" t="s">
        <v>84</v>
      </c>
      <c r="D34" s="335"/>
      <c r="E34" s="335"/>
      <c r="F34" s="335"/>
      <c r="G34" s="336"/>
      <c r="H34" s="123">
        <v>1</v>
      </c>
      <c r="I34" s="347" t="s">
        <v>83</v>
      </c>
      <c r="J34" s="348"/>
      <c r="K34" s="119"/>
      <c r="L34" s="124">
        <v>44341</v>
      </c>
      <c r="M34" s="124"/>
      <c r="N34" s="125"/>
      <c r="O34" s="120">
        <f t="shared" si="21"/>
        <v>0</v>
      </c>
      <c r="P34" s="120" t="e">
        <f t="shared" si="22"/>
        <v>#N/A</v>
      </c>
      <c r="Q34" s="120" t="e">
        <f t="shared" si="23"/>
        <v>#N/A</v>
      </c>
      <c r="R34" s="120" t="e">
        <f t="shared" si="24"/>
        <v>#N/A</v>
      </c>
      <c r="S34" s="120" t="e">
        <f t="shared" si="25"/>
        <v>#N/A</v>
      </c>
      <c r="T34" s="120" t="e">
        <f t="shared" si="26"/>
        <v>#N/A</v>
      </c>
      <c r="U34" s="120" t="e">
        <f t="shared" si="27"/>
        <v>#N/A</v>
      </c>
      <c r="V34" s="120" t="e">
        <f t="shared" si="28"/>
        <v>#N/A</v>
      </c>
      <c r="W34" s="120" t="e">
        <f t="shared" si="29"/>
        <v>#N/A</v>
      </c>
      <c r="X34" s="120" t="e">
        <f t="shared" si="30"/>
        <v>#N/A</v>
      </c>
      <c r="Y34" s="120" t="e">
        <f t="shared" si="31"/>
        <v>#N/A</v>
      </c>
      <c r="Z34" s="120" t="e">
        <f t="shared" si="32"/>
        <v>#N/A</v>
      </c>
      <c r="AA34" s="120" t="e">
        <f>IF(AI34="","",IF(AI34&gt;=0,VLOOKUP(AI34,$AO$59:$AP$59,2),0))</f>
        <v>#N/A</v>
      </c>
      <c r="AB34" s="120" t="e">
        <f>IF(AI34="","",IF(AI34&gt;=0,VLOOKUP(AI34,$AO$59:$AP$59,2),0))</f>
        <v>#N/A</v>
      </c>
      <c r="AC34" s="120" t="e">
        <f>IF(AI34="","",IF(AI34&gt;=0,VLOOKUP(AI34,$AO$61:$AP$61,2),0))</f>
        <v>#N/A</v>
      </c>
      <c r="AD34" s="120" t="e">
        <f>IF(AI34="","",IF(AI34&gt;=0,VLOOKUP(AI34,$AO$62:$AP$62,2),0))</f>
        <v>#N/A</v>
      </c>
      <c r="AE34" s="120" t="e">
        <f>IF(AI34="","",IF(AI34&gt;=0,VLOOKUP(AI34,$AO$63:$AP$63,2),0))</f>
        <v>#N/A</v>
      </c>
      <c r="AF34" s="120" t="e">
        <f>IF(AI34="","",IF(AI34&gt;=0,VLOOKUP(AI34,$AO$64:$AP$64,2),0))</f>
        <v>#N/A</v>
      </c>
      <c r="AG34" s="120" t="e">
        <f>IF(AI34="","",IF(AI34&gt;=0,VLOOKUP(AI34,$AO$65:$AP$65,2),0))</f>
        <v>#N/A</v>
      </c>
      <c r="AH34" s="120" t="e">
        <f>IF(AI34="","",IF(AI34&gt;=0,VLOOKUP(AI34,$AO$66:$AP$66,2),0))</f>
        <v>#N/A</v>
      </c>
      <c r="AI34" s="121">
        <v>0</v>
      </c>
      <c r="AJ34" s="126"/>
      <c r="AK34" s="127"/>
      <c r="AL34" s="82">
        <v>0</v>
      </c>
      <c r="AO34" s="83">
        <v>0.85</v>
      </c>
      <c r="AP34" s="84" t="s">
        <v>25</v>
      </c>
    </row>
    <row r="35" spans="1:42" ht="37.5" customHeight="1">
      <c r="A35" s="477"/>
      <c r="B35" s="345"/>
      <c r="C35" s="334"/>
      <c r="D35" s="335"/>
      <c r="E35" s="335"/>
      <c r="F35" s="335"/>
      <c r="G35" s="336"/>
      <c r="H35" s="123"/>
      <c r="I35" s="333"/>
      <c r="J35" s="333"/>
      <c r="K35" s="119"/>
      <c r="L35" s="124"/>
      <c r="M35" s="124"/>
      <c r="N35" s="125"/>
      <c r="O35" s="120" t="str">
        <f t="shared" si="21"/>
        <v/>
      </c>
      <c r="P35" s="120" t="str">
        <f t="shared" si="22"/>
        <v/>
      </c>
      <c r="Q35" s="120" t="str">
        <f t="shared" si="23"/>
        <v/>
      </c>
      <c r="R35" s="120" t="str">
        <f t="shared" si="24"/>
        <v/>
      </c>
      <c r="S35" s="120" t="str">
        <f t="shared" si="25"/>
        <v/>
      </c>
      <c r="T35" s="120" t="str">
        <f t="shared" si="26"/>
        <v/>
      </c>
      <c r="U35" s="120" t="str">
        <f t="shared" si="27"/>
        <v/>
      </c>
      <c r="V35" s="120" t="str">
        <f t="shared" si="28"/>
        <v/>
      </c>
      <c r="W35" s="120" t="str">
        <f t="shared" si="29"/>
        <v/>
      </c>
      <c r="X35" s="120" t="str">
        <f t="shared" si="30"/>
        <v/>
      </c>
      <c r="Y35" s="120" t="str">
        <f t="shared" si="31"/>
        <v/>
      </c>
      <c r="Z35" s="120" t="str">
        <f t="shared" si="32"/>
        <v/>
      </c>
      <c r="AA35" s="120" t="str">
        <f>IF(AI35="","",IF(AI35&gt;=0,VLOOKUP(AI35,$AO$59:$AP$59,2),0))</f>
        <v/>
      </c>
      <c r="AB35" s="120" t="str">
        <f>IF(AI35="","",IF(AI35&gt;=0,VLOOKUP(AI35,$AO$59:$AP$59,2),0))</f>
        <v/>
      </c>
      <c r="AC35" s="120" t="str">
        <f>IF(AI35="","",IF(AI35&gt;=0,VLOOKUP(AI35,$AO$61:$AP$61,2),0))</f>
        <v/>
      </c>
      <c r="AD35" s="120" t="str">
        <f>IF(AI35="","",IF(AI35&gt;=0,VLOOKUP(AI35,$AO$62:$AP$62,2),0))</f>
        <v/>
      </c>
      <c r="AE35" s="120" t="str">
        <f>IF(AI35="","",IF(AI35&gt;=0,VLOOKUP(AI35,$AO$63:$AP$63,2),0))</f>
        <v/>
      </c>
      <c r="AF35" s="120" t="str">
        <f>IF(AI35="","",IF(AI35&gt;=0,VLOOKUP(AI35,$AO$64:$AP$64,2),0))</f>
        <v/>
      </c>
      <c r="AG35" s="120" t="str">
        <f>IF(AI35="","",IF(AI35&gt;=0,VLOOKUP(AI35,$AO$65:$AP$65,2),0))</f>
        <v/>
      </c>
      <c r="AH35" s="120" t="str">
        <f>IF(AI35="","",IF(AI35&gt;=0,VLOOKUP(AI35,$AO$66:$AP$66,2),0))</f>
        <v/>
      </c>
      <c r="AI35" s="121"/>
      <c r="AJ35" s="126"/>
      <c r="AK35" s="127"/>
      <c r="AL35" s="82"/>
      <c r="AO35" s="83"/>
      <c r="AP35" s="84"/>
    </row>
    <row r="36" spans="1:42" ht="37.5" customHeight="1">
      <c r="A36" s="477"/>
      <c r="B36" s="345"/>
      <c r="C36" s="334"/>
      <c r="D36" s="335"/>
      <c r="E36" s="335"/>
      <c r="F36" s="335"/>
      <c r="G36" s="336"/>
      <c r="H36" s="123"/>
      <c r="I36" s="333"/>
      <c r="J36" s="333"/>
      <c r="K36" s="119"/>
      <c r="L36" s="124"/>
      <c r="M36" s="124"/>
      <c r="N36" s="125"/>
      <c r="O36" s="120" t="str">
        <f t="shared" si="21"/>
        <v/>
      </c>
      <c r="P36" s="120" t="str">
        <f t="shared" si="22"/>
        <v/>
      </c>
      <c r="Q36" s="120" t="str">
        <f t="shared" si="23"/>
        <v/>
      </c>
      <c r="R36" s="120" t="str">
        <f t="shared" si="24"/>
        <v/>
      </c>
      <c r="S36" s="120" t="str">
        <f t="shared" si="25"/>
        <v/>
      </c>
      <c r="T36" s="120" t="str">
        <f t="shared" si="26"/>
        <v/>
      </c>
      <c r="U36" s="120" t="str">
        <f t="shared" si="27"/>
        <v/>
      </c>
      <c r="V36" s="120" t="str">
        <f t="shared" si="28"/>
        <v/>
      </c>
      <c r="W36" s="120" t="str">
        <f t="shared" si="29"/>
        <v/>
      </c>
      <c r="X36" s="120" t="str">
        <f t="shared" si="30"/>
        <v/>
      </c>
      <c r="Y36" s="120" t="str">
        <f t="shared" si="31"/>
        <v/>
      </c>
      <c r="Z36" s="120" t="str">
        <f t="shared" si="32"/>
        <v/>
      </c>
      <c r="AA36" s="120" t="str">
        <f>IF(AI36="","",IF(AI36&gt;=0,VLOOKUP(AI36,$AO$59:$AP$59,2),0))</f>
        <v/>
      </c>
      <c r="AB36" s="120" t="str">
        <f>IF(AI36="","",IF(AI36&gt;=0,VLOOKUP(AI36,$AO$59:$AP$59,2),0))</f>
        <v/>
      </c>
      <c r="AC36" s="120" t="str">
        <f>IF(AI36="","",IF(AI36&gt;=0,VLOOKUP(AI36,$AO$61:$AP$61,2),0))</f>
        <v/>
      </c>
      <c r="AD36" s="120" t="str">
        <f>IF(AI36="","",IF(AI36&gt;=0,VLOOKUP(AI36,$AO$62:$AP$62,2),0))</f>
        <v/>
      </c>
      <c r="AE36" s="120" t="str">
        <f>IF(AI36="","",IF(AI36&gt;=0,VLOOKUP(AI36,$AO$63:$AP$63,2),0))</f>
        <v/>
      </c>
      <c r="AF36" s="120" t="str">
        <f>IF(AI36="","",IF(AI36&gt;=0,VLOOKUP(AI36,$AO$64:$AP$64,2),0))</f>
        <v/>
      </c>
      <c r="AG36" s="120" t="str">
        <f>IF(AI36="","",IF(AI36&gt;=0,VLOOKUP(AI36,$AO$65:$AP$65,2),0))</f>
        <v/>
      </c>
      <c r="AH36" s="120" t="str">
        <f>IF(AI36="","",IF(AI36&gt;=0,VLOOKUP(AI36,$AO$66:$AP$66,2),0))</f>
        <v/>
      </c>
      <c r="AI36" s="121"/>
      <c r="AJ36" s="126"/>
      <c r="AK36" s="127"/>
      <c r="AL36" s="82"/>
      <c r="AO36" s="83"/>
      <c r="AP36" s="84"/>
    </row>
    <row r="37" spans="1:42" ht="37.5" customHeight="1">
      <c r="A37" s="478"/>
      <c r="B37" s="346"/>
      <c r="C37" s="334"/>
      <c r="D37" s="337"/>
      <c r="E37" s="337"/>
      <c r="F37" s="337"/>
      <c r="G37" s="338"/>
      <c r="H37" s="123"/>
      <c r="I37" s="333"/>
      <c r="J37" s="333"/>
      <c r="K37" s="119"/>
      <c r="L37" s="124"/>
      <c r="M37" s="124"/>
      <c r="N37" s="125"/>
      <c r="O37" s="120" t="str">
        <f t="shared" si="21"/>
        <v/>
      </c>
      <c r="P37" s="120" t="str">
        <f t="shared" si="22"/>
        <v/>
      </c>
      <c r="Q37" s="120" t="str">
        <f t="shared" si="23"/>
        <v/>
      </c>
      <c r="R37" s="120" t="str">
        <f t="shared" si="24"/>
        <v/>
      </c>
      <c r="S37" s="120" t="str">
        <f t="shared" si="25"/>
        <v/>
      </c>
      <c r="T37" s="120" t="str">
        <f t="shared" si="26"/>
        <v/>
      </c>
      <c r="U37" s="120" t="str">
        <f t="shared" si="27"/>
        <v/>
      </c>
      <c r="V37" s="120" t="str">
        <f t="shared" si="28"/>
        <v/>
      </c>
      <c r="W37" s="120" t="str">
        <f t="shared" si="29"/>
        <v/>
      </c>
      <c r="X37" s="120" t="str">
        <f t="shared" si="30"/>
        <v/>
      </c>
      <c r="Y37" s="120" t="str">
        <f t="shared" si="31"/>
        <v/>
      </c>
      <c r="Z37" s="120" t="str">
        <f t="shared" si="32"/>
        <v/>
      </c>
      <c r="AA37" s="120" t="str">
        <f>IF(AI37="","",IF(AI37&gt;=0,VLOOKUP(AI37,$AO$59:$AP$59,2),0))</f>
        <v/>
      </c>
      <c r="AB37" s="120" t="str">
        <f>IF(AI37="","",IF(AI37&gt;=0,VLOOKUP(AI37,$AO$59:$AP$59,2),0))</f>
        <v/>
      </c>
      <c r="AC37" s="120" t="str">
        <f>IF(AI37="","",IF(AI37&gt;=0,VLOOKUP(AI37,$AO$61:$AP$61,2),0))</f>
        <v/>
      </c>
      <c r="AD37" s="120" t="str">
        <f>IF(AI37="","",IF(AI37&gt;=0,VLOOKUP(AI37,$AO$62:$AP$62,2),0))</f>
        <v/>
      </c>
      <c r="AE37" s="120" t="str">
        <f>IF(AI37="","",IF(AI37&gt;=0,VLOOKUP(AI37,$AO$63:$AP$63,2),0))</f>
        <v/>
      </c>
      <c r="AF37" s="120" t="str">
        <f>IF(AI37="","",IF(AI37&gt;=0,VLOOKUP(AI37,$AO$64:$AP$64,2),0))</f>
        <v/>
      </c>
      <c r="AG37" s="120" t="str">
        <f>IF(AI37="","",IF(AI37&gt;=0,VLOOKUP(AI37,$AO$65:$AP$65,2),0))</f>
        <v/>
      </c>
      <c r="AH37" s="120" t="str">
        <f>IF(AI37="","",IF(AI37&gt;=0,VLOOKUP(AI37,$AO$66:$AP$66,2),0))</f>
        <v/>
      </c>
      <c r="AI37" s="121"/>
      <c r="AJ37" s="126"/>
      <c r="AK37" s="127"/>
      <c r="AL37" s="82"/>
      <c r="AO37" s="83"/>
      <c r="AP37" s="84"/>
    </row>
    <row r="38" spans="1:42" ht="24.75" customHeight="1">
      <c r="A38" s="128"/>
      <c r="B38" s="129"/>
      <c r="C38" s="359"/>
      <c r="D38" s="360"/>
      <c r="E38" s="360"/>
      <c r="F38" s="360"/>
      <c r="G38" s="361"/>
      <c r="H38" s="130" t="s">
        <v>33</v>
      </c>
      <c r="I38" s="131"/>
      <c r="J38" s="132"/>
      <c r="K38" s="133">
        <f>SUM(K30:K37)</f>
        <v>6</v>
      </c>
      <c r="L38" s="134"/>
      <c r="M38" s="135"/>
      <c r="N38" s="136"/>
      <c r="O38" s="137"/>
      <c r="P38" s="138"/>
      <c r="Q38" s="138"/>
      <c r="R38" s="138"/>
      <c r="S38" s="349"/>
      <c r="T38" s="349"/>
      <c r="U38" s="138"/>
      <c r="V38" s="138"/>
      <c r="W38" s="138"/>
      <c r="X38" s="138"/>
      <c r="Y38" s="349"/>
      <c r="Z38" s="349"/>
      <c r="AA38" s="139"/>
      <c r="AB38" s="139"/>
      <c r="AC38" s="139"/>
      <c r="AD38" s="138"/>
      <c r="AE38" s="349"/>
      <c r="AF38" s="349"/>
      <c r="AG38" s="138"/>
      <c r="AH38" s="138"/>
      <c r="AI38" s="140"/>
      <c r="AJ38" s="141"/>
      <c r="AK38" s="127"/>
      <c r="AL38" s="82"/>
      <c r="AO38" s="83"/>
      <c r="AP38" s="84"/>
    </row>
    <row r="39" spans="1:42" ht="15.75" customHeight="1">
      <c r="A39" s="142"/>
      <c r="B39" s="143"/>
      <c r="C39" s="350"/>
      <c r="D39" s="351"/>
      <c r="E39" s="351"/>
      <c r="F39" s="351"/>
      <c r="G39" s="352"/>
      <c r="H39" s="144"/>
      <c r="I39" s="144"/>
      <c r="J39" s="144"/>
      <c r="K39" s="144"/>
      <c r="L39" s="145"/>
      <c r="M39" s="145"/>
      <c r="N39" s="146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7"/>
      <c r="AJ39" s="148"/>
      <c r="AK39" s="127"/>
      <c r="AL39" s="82"/>
      <c r="AO39" s="83"/>
      <c r="AP39" s="84"/>
    </row>
    <row r="40" spans="1:42" s="152" customFormat="1" ht="33.75" customHeight="1">
      <c r="A40" s="353" t="s">
        <v>13</v>
      </c>
      <c r="B40" s="354" t="s">
        <v>34</v>
      </c>
      <c r="C40" s="354" t="s">
        <v>35</v>
      </c>
      <c r="D40" s="354"/>
      <c r="E40" s="354"/>
      <c r="F40" s="354"/>
      <c r="G40" s="354"/>
      <c r="H40" s="149" t="s">
        <v>36</v>
      </c>
      <c r="I40" s="149"/>
      <c r="J40" s="149"/>
      <c r="K40" s="149"/>
      <c r="L40" s="149"/>
      <c r="M40" s="149"/>
      <c r="N40" s="44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50"/>
      <c r="AL40" s="151"/>
      <c r="AO40" s="153"/>
      <c r="AP40" s="154"/>
    </row>
    <row r="41" spans="1:42" s="158" customFormat="1" ht="39" customHeight="1">
      <c r="A41" s="353"/>
      <c r="B41" s="354"/>
      <c r="C41" s="354"/>
      <c r="D41" s="354"/>
      <c r="E41" s="354"/>
      <c r="F41" s="354"/>
      <c r="G41" s="354"/>
      <c r="H41" s="355" t="s">
        <v>37</v>
      </c>
      <c r="I41" s="355"/>
      <c r="J41" s="355"/>
      <c r="K41" s="355"/>
      <c r="L41" s="356" t="s">
        <v>38</v>
      </c>
      <c r="M41" s="356" t="s">
        <v>39</v>
      </c>
      <c r="N41" s="357" t="s">
        <v>40</v>
      </c>
      <c r="O41" s="355" t="s">
        <v>41</v>
      </c>
      <c r="P41" s="355"/>
      <c r="Q41" s="355"/>
      <c r="R41" s="355"/>
      <c r="S41" s="355"/>
      <c r="T41" s="355"/>
      <c r="U41" s="355"/>
      <c r="V41" s="355"/>
      <c r="W41" s="355"/>
      <c r="X41" s="355"/>
      <c r="Y41" s="355"/>
      <c r="Z41" s="355"/>
      <c r="AA41" s="355"/>
      <c r="AB41" s="355"/>
      <c r="AC41" s="355"/>
      <c r="AD41" s="355"/>
      <c r="AE41" s="355"/>
      <c r="AF41" s="355"/>
      <c r="AG41" s="355"/>
      <c r="AH41" s="355"/>
      <c r="AI41" s="355"/>
      <c r="AJ41" s="155"/>
      <c r="AK41" s="156"/>
      <c r="AL41" s="157"/>
      <c r="AO41" s="159"/>
      <c r="AP41" s="160"/>
    </row>
    <row r="42" spans="1:42" s="158" customFormat="1" ht="22.5" customHeight="1">
      <c r="A42" s="353"/>
      <c r="B42" s="354"/>
      <c r="C42" s="354"/>
      <c r="D42" s="354"/>
      <c r="E42" s="354"/>
      <c r="F42" s="354"/>
      <c r="G42" s="354"/>
      <c r="H42" s="355"/>
      <c r="I42" s="355"/>
      <c r="J42" s="355"/>
      <c r="K42" s="355"/>
      <c r="L42" s="356"/>
      <c r="M42" s="356"/>
      <c r="N42" s="358"/>
      <c r="O42" s="161"/>
      <c r="P42" s="355">
        <v>10</v>
      </c>
      <c r="Q42" s="355"/>
      <c r="R42" s="355">
        <v>20</v>
      </c>
      <c r="S42" s="355"/>
      <c r="T42" s="355">
        <v>30</v>
      </c>
      <c r="U42" s="355"/>
      <c r="V42" s="355">
        <v>40</v>
      </c>
      <c r="W42" s="355"/>
      <c r="X42" s="355">
        <v>50</v>
      </c>
      <c r="Y42" s="355"/>
      <c r="Z42" s="355">
        <v>60</v>
      </c>
      <c r="AA42" s="355"/>
      <c r="AB42" s="355">
        <v>70</v>
      </c>
      <c r="AC42" s="355"/>
      <c r="AD42" s="355">
        <v>80</v>
      </c>
      <c r="AE42" s="355"/>
      <c r="AF42" s="355">
        <v>90</v>
      </c>
      <c r="AG42" s="355"/>
      <c r="AH42" s="355">
        <v>100</v>
      </c>
      <c r="AI42" s="355"/>
      <c r="AJ42" s="155"/>
      <c r="AK42" s="156"/>
      <c r="AL42" s="157"/>
      <c r="AO42" s="159"/>
      <c r="AP42" s="160"/>
    </row>
    <row r="43" spans="1:42" ht="16.5" customHeight="1">
      <c r="A43" s="162">
        <v>1</v>
      </c>
      <c r="B43" s="163"/>
      <c r="C43" s="362"/>
      <c r="D43" s="363"/>
      <c r="E43" s="363"/>
      <c r="F43" s="363"/>
      <c r="G43" s="364"/>
      <c r="H43" s="164">
        <v>1</v>
      </c>
      <c r="I43" s="365" t="s">
        <v>42</v>
      </c>
      <c r="J43" s="366"/>
      <c r="K43" s="367"/>
      <c r="L43" s="165"/>
      <c r="M43" s="165"/>
      <c r="N43" s="166"/>
      <c r="O43" s="167">
        <f>IF(AI43="","",IF(AI43&lt;&gt;0,VLOOKUP(AI43,$AO$16:$AP$16,2),0))</f>
        <v>0</v>
      </c>
      <c r="P43" s="168" t="e">
        <f>IF(AI43="","",IF(AI43&gt;=0,VLOOKUP(AI43,$AO$17:$AP$17,2),0))</f>
        <v>#N/A</v>
      </c>
      <c r="Q43" s="168" t="e">
        <f>IF(AI43="","",IF(AI43&gt;=0,VLOOKUP(AI43,$AO$18:$AP$18,2),0))</f>
        <v>#N/A</v>
      </c>
      <c r="R43" s="168" t="e">
        <f>IF(AI43="","",IF(AI43&gt;=0,VLOOKUP(AI43,$AO$19:$AP$19,2),0))</f>
        <v>#N/A</v>
      </c>
      <c r="S43" s="168" t="e">
        <f>IF(AI43="","",IF(AI43&gt;=0,VLOOKUP(AI43,$AO$20:$AP$20,2),0))</f>
        <v>#N/A</v>
      </c>
      <c r="T43" s="168" t="e">
        <f>IF(AI43="","",IF(AI43&gt;=0,VLOOKUP(AI43,$AO$21:$AP$21,2),0))</f>
        <v>#N/A</v>
      </c>
      <c r="U43" s="168" t="e">
        <f>IF(AI43="","",IF(AI43&gt;=0,VLOOKUP(AI43,$AO$22:$AP$22,2),0))</f>
        <v>#N/A</v>
      </c>
      <c r="V43" s="168" t="e">
        <f>IF(AI43="","",IF(AI43&gt;=0,VLOOKUP(AI43,$AO$23:$AP$23,2),0))</f>
        <v>#N/A</v>
      </c>
      <c r="W43" s="168" t="e">
        <f>IF(AI43="","",IF(AI43&gt;=0,VLOOKUP(AI43,$AO$24:$AP$24,2),0))</f>
        <v>#N/A</v>
      </c>
      <c r="X43" s="168" t="e">
        <f>IF(AI43="","",IF(AI43&gt;=0,VLOOKUP(AI43,$AO$25:$AP$25,2),0))</f>
        <v>#N/A</v>
      </c>
      <c r="Y43" s="168" t="e">
        <f>IF(AI43="","",IF(AI43&gt;=0,VLOOKUP(AI43,$AO$26:$AP$26,2),0))</f>
        <v>#N/A</v>
      </c>
      <c r="Z43" s="168" t="e">
        <f>IF(AI43="","",IF(AI43&gt;=0,VLOOKUP(AI43,$AO$27:$AP$27,2),0))</f>
        <v>#N/A</v>
      </c>
      <c r="AA43" s="168" t="e">
        <f t="shared" ref="AA43:AA58" si="33">IF(AI43="","",IF(AI43&gt;=0,VLOOKUP(AI43,$AO$59:$AP$59,2),0))</f>
        <v>#N/A</v>
      </c>
      <c r="AB43" s="168" t="e">
        <f t="shared" ref="AB43:AB58" si="34">IF(AI43="","",IF(AI43&gt;=0,VLOOKUP(AI43,$AO$59:$AP$59,2),0))</f>
        <v>#N/A</v>
      </c>
      <c r="AC43" s="168" t="e">
        <f t="shared" ref="AC43:AC58" si="35">IF(AI43="","",IF(AI43&gt;=0,VLOOKUP(AI43,$AO$61:$AP$61,2),0))</f>
        <v>#N/A</v>
      </c>
      <c r="AD43" s="168" t="e">
        <f t="shared" ref="AD43:AD58" si="36">IF(AI43="","",IF(AI43&gt;=0,VLOOKUP(AI43,$AO$62:$AP$62,2),0))</f>
        <v>#N/A</v>
      </c>
      <c r="AE43" s="168" t="e">
        <f t="shared" ref="AE43:AE58" si="37">IF(AI43="","",IF(AI43&gt;=0,VLOOKUP(AI43,$AO$63:$AP$63,2),0))</f>
        <v>#N/A</v>
      </c>
      <c r="AF43" s="168" t="e">
        <f t="shared" ref="AF43:AF58" si="38">IF(AI43="","",IF(AI43&gt;=0,VLOOKUP(AI43,$AO$64:$AP$64,2),0))</f>
        <v>#N/A</v>
      </c>
      <c r="AG43" s="168" t="e">
        <f t="shared" ref="AG43:AG58" si="39">IF(AI43="","",IF(AI43&gt;=0,VLOOKUP(AI43,$AO$65:$AP$65,2),0))</f>
        <v>#N/A</v>
      </c>
      <c r="AH43" s="168" t="e">
        <f t="shared" ref="AH43:AH58" si="40">IF(AI43="","",IF(AI43&gt;=0,VLOOKUP(AI43,$AO$66:$AP$66,2),0))</f>
        <v>#N/A</v>
      </c>
      <c r="AI43" s="169">
        <v>0</v>
      </c>
      <c r="AJ43" s="170"/>
      <c r="AK43" s="127"/>
      <c r="AL43" s="82">
        <v>0</v>
      </c>
      <c r="AO43" s="83"/>
      <c r="AP43" s="84"/>
    </row>
    <row r="44" spans="1:42" ht="16.5" customHeight="1">
      <c r="A44" s="128">
        <v>2</v>
      </c>
      <c r="B44" s="171"/>
      <c r="C44" s="359"/>
      <c r="D44" s="360"/>
      <c r="E44" s="360"/>
      <c r="F44" s="360"/>
      <c r="G44" s="361"/>
      <c r="H44" s="172">
        <v>2</v>
      </c>
      <c r="I44" s="368" t="s">
        <v>75</v>
      </c>
      <c r="J44" s="369"/>
      <c r="K44" s="370"/>
      <c r="L44" s="173"/>
      <c r="M44" s="173"/>
      <c r="N44" s="174"/>
      <c r="O44" s="175">
        <f t="shared" ref="O44:O56" si="41">IF(AI44="","",IF(AI44&lt;&gt;0,VLOOKUP(AI44,$AO$16:$AP$16,2),0))</f>
        <v>0</v>
      </c>
      <c r="P44" s="176" t="e">
        <f t="shared" ref="P44:P56" si="42">IF(AI44="","",IF(AI44&gt;=0,VLOOKUP(AI44,$AO$17:$AP$17,2),0))</f>
        <v>#N/A</v>
      </c>
      <c r="Q44" s="176" t="e">
        <f t="shared" ref="Q44:Q56" si="43">IF(AI44="","",IF(AI44&gt;=0,VLOOKUP(AI44,$AO$18:$AP$18,2),0))</f>
        <v>#N/A</v>
      </c>
      <c r="R44" s="176" t="e">
        <f t="shared" ref="R44:R56" si="44">IF(AI44="","",IF(AI44&gt;=0,VLOOKUP(AI44,$AO$19:$AP$19,2),0))</f>
        <v>#N/A</v>
      </c>
      <c r="S44" s="176" t="e">
        <f t="shared" ref="S44:S56" si="45">IF(AI44="","",IF(AI44&gt;=0,VLOOKUP(AI44,$AO$20:$AP$20,2),0))</f>
        <v>#N/A</v>
      </c>
      <c r="T44" s="176" t="e">
        <f t="shared" ref="T44:T56" si="46">IF(AI44="","",IF(AI44&gt;=0,VLOOKUP(AI44,$AO$21:$AP$21,2),0))</f>
        <v>#N/A</v>
      </c>
      <c r="U44" s="176" t="e">
        <f t="shared" ref="U44:U56" si="47">IF(AI44="","",IF(AI44&gt;=0,VLOOKUP(AI44,$AO$22:$AP$22,2),0))</f>
        <v>#N/A</v>
      </c>
      <c r="V44" s="176" t="e">
        <f t="shared" ref="V44:V56" si="48">IF(AI44="","",IF(AI44&gt;=0,VLOOKUP(AI44,$AO$23:$AP$23,2),0))</f>
        <v>#N/A</v>
      </c>
      <c r="W44" s="176" t="e">
        <f t="shared" ref="W44:W56" si="49">IF(AI44="","",IF(AI44&gt;=0,VLOOKUP(AI44,$AO$24:$AP$24,2),0))</f>
        <v>#N/A</v>
      </c>
      <c r="X44" s="176" t="e">
        <f t="shared" ref="X44:X56" si="50">IF(AI44="","",IF(AI44&gt;=0,VLOOKUP(AI44,$AO$25:$AP$25,2),0))</f>
        <v>#N/A</v>
      </c>
      <c r="Y44" s="176" t="e">
        <f t="shared" ref="Y44:Y56" si="51">IF(AI44="","",IF(AI44&gt;=0,VLOOKUP(AI44,$AO$26:$AP$26,2),0))</f>
        <v>#N/A</v>
      </c>
      <c r="Z44" s="176" t="e">
        <f t="shared" ref="Z44:Z56" si="52">IF(AI44="","",IF(AI44&gt;=0,VLOOKUP(AI44,$AO$27:$AP$27,2),0))</f>
        <v>#N/A</v>
      </c>
      <c r="AA44" s="176" t="e">
        <f t="shared" si="33"/>
        <v>#N/A</v>
      </c>
      <c r="AB44" s="176" t="e">
        <f t="shared" si="34"/>
        <v>#N/A</v>
      </c>
      <c r="AC44" s="176" t="e">
        <f t="shared" si="35"/>
        <v>#N/A</v>
      </c>
      <c r="AD44" s="176" t="e">
        <f t="shared" si="36"/>
        <v>#N/A</v>
      </c>
      <c r="AE44" s="176" t="e">
        <f t="shared" si="37"/>
        <v>#N/A</v>
      </c>
      <c r="AF44" s="176" t="e">
        <f t="shared" si="38"/>
        <v>#N/A</v>
      </c>
      <c r="AG44" s="176" t="e">
        <f t="shared" si="39"/>
        <v>#N/A</v>
      </c>
      <c r="AH44" s="176" t="e">
        <f t="shared" si="40"/>
        <v>#N/A</v>
      </c>
      <c r="AI44" s="177">
        <v>0</v>
      </c>
      <c r="AJ44" s="178"/>
      <c r="AK44" s="127"/>
      <c r="AL44" s="82">
        <v>100</v>
      </c>
      <c r="AO44" s="83"/>
      <c r="AP44" s="84"/>
    </row>
    <row r="45" spans="1:42" ht="16.5" customHeight="1">
      <c r="A45" s="128">
        <v>3</v>
      </c>
      <c r="B45" s="171"/>
      <c r="C45" s="359"/>
      <c r="D45" s="360"/>
      <c r="E45" s="360"/>
      <c r="F45" s="360"/>
      <c r="G45" s="361"/>
      <c r="H45" s="172">
        <v>3</v>
      </c>
      <c r="I45" s="368" t="s">
        <v>76</v>
      </c>
      <c r="J45" s="369"/>
      <c r="K45" s="370"/>
      <c r="L45" s="179"/>
      <c r="M45" s="179"/>
      <c r="N45" s="180"/>
      <c r="O45" s="175">
        <f>IF(AI45="","",IF(AI45&lt;&gt;0,VLOOKUP(AI45,$AO$16:$AP$16,2),0))</f>
        <v>0</v>
      </c>
      <c r="P45" s="176" t="e">
        <f>IF(AI45="","",IF(AI45&gt;=0,VLOOKUP(AI45,$AO$17:$AP$17,2),0))</f>
        <v>#N/A</v>
      </c>
      <c r="Q45" s="176" t="e">
        <f>IF(AI45="","",IF(AI45&gt;=0,VLOOKUP(AI45,$AO$18:$AP$18,2),0))</f>
        <v>#N/A</v>
      </c>
      <c r="R45" s="176" t="e">
        <f>IF(AI45="","",IF(AI45&gt;=0,VLOOKUP(AI45,$AO$19:$AP$19,2),0))</f>
        <v>#N/A</v>
      </c>
      <c r="S45" s="176" t="e">
        <f>IF(AI45="","",IF(AI45&gt;=0,VLOOKUP(AI45,$AO$20:$AP$20,2),0))</f>
        <v>#N/A</v>
      </c>
      <c r="T45" s="176" t="e">
        <f>IF(AI45="","",IF(AI45&gt;=0,VLOOKUP(AI45,$AO$21:$AP$21,2),0))</f>
        <v>#N/A</v>
      </c>
      <c r="U45" s="176" t="e">
        <f>IF(AI45="","",IF(AI45&gt;=0,VLOOKUP(AI45,$AO$22:$AP$22,2),0))</f>
        <v>#N/A</v>
      </c>
      <c r="V45" s="176" t="e">
        <f>IF(AI45="","",IF(AI45&gt;=0,VLOOKUP(AI45,$AO$23:$AP$23,2),0))</f>
        <v>#N/A</v>
      </c>
      <c r="W45" s="176" t="e">
        <f>IF(AI45="","",IF(AI45&gt;=0,VLOOKUP(AI45,$AO$24:$AP$24,2),0))</f>
        <v>#N/A</v>
      </c>
      <c r="X45" s="176" t="e">
        <f>IF(AI45="","",IF(AI45&gt;=0,VLOOKUP(AI45,$AO$25:$AP$25,2),0))</f>
        <v>#N/A</v>
      </c>
      <c r="Y45" s="176" t="e">
        <f>IF(AI45="","",IF(AI45&gt;=0,VLOOKUP(AI45,$AO$26:$AP$26,2),0))</f>
        <v>#N/A</v>
      </c>
      <c r="Z45" s="176" t="e">
        <f>IF(AI45="","",IF(AI45&gt;=0,VLOOKUP(AI45,$AO$27:$AP$27,2),0))</f>
        <v>#N/A</v>
      </c>
      <c r="AA45" s="176" t="e">
        <f t="shared" si="33"/>
        <v>#N/A</v>
      </c>
      <c r="AB45" s="176" t="e">
        <f t="shared" si="34"/>
        <v>#N/A</v>
      </c>
      <c r="AC45" s="176" t="e">
        <f t="shared" si="35"/>
        <v>#N/A</v>
      </c>
      <c r="AD45" s="176" t="e">
        <f t="shared" si="36"/>
        <v>#N/A</v>
      </c>
      <c r="AE45" s="176" t="e">
        <f t="shared" si="37"/>
        <v>#N/A</v>
      </c>
      <c r="AF45" s="176" t="e">
        <f t="shared" si="38"/>
        <v>#N/A</v>
      </c>
      <c r="AG45" s="176" t="e">
        <f t="shared" si="39"/>
        <v>#N/A</v>
      </c>
      <c r="AH45" s="176" t="e">
        <f t="shared" si="40"/>
        <v>#N/A</v>
      </c>
      <c r="AI45" s="177">
        <v>0</v>
      </c>
      <c r="AJ45" s="178"/>
      <c r="AK45" s="127"/>
      <c r="AL45" s="82">
        <v>100</v>
      </c>
      <c r="AO45" s="83"/>
      <c r="AP45" s="84"/>
    </row>
    <row r="46" spans="1:42" ht="16.5" customHeight="1">
      <c r="A46" s="128">
        <v>4</v>
      </c>
      <c r="B46" s="181"/>
      <c r="C46" s="359"/>
      <c r="D46" s="360"/>
      <c r="E46" s="360"/>
      <c r="F46" s="360"/>
      <c r="G46" s="361"/>
      <c r="H46" s="172">
        <v>4</v>
      </c>
      <c r="I46" s="371" t="s">
        <v>77</v>
      </c>
      <c r="J46" s="372"/>
      <c r="K46" s="373"/>
      <c r="L46" s="182"/>
      <c r="M46" s="182"/>
      <c r="N46" s="183"/>
      <c r="O46" s="175">
        <f>IF(AI46="","",IF(AI46&lt;&gt;0,VLOOKUP(AI46,$AO$16:$AP$16,2),0))</f>
        <v>0</v>
      </c>
      <c r="P46" s="176" t="e">
        <f>IF(AI46="","",IF(AI46&gt;=0,VLOOKUP(AI46,$AO$17:$AP$17,2),0))</f>
        <v>#N/A</v>
      </c>
      <c r="Q46" s="176" t="e">
        <f>IF(AI46="","",IF(AI46&gt;=0,VLOOKUP(AI46,$AO$18:$AP$18,2),0))</f>
        <v>#N/A</v>
      </c>
      <c r="R46" s="176" t="e">
        <f>IF(AI46="","",IF(AI46&gt;=0,VLOOKUP(AI46,$AO$19:$AP$19,2),0))</f>
        <v>#N/A</v>
      </c>
      <c r="S46" s="176" t="e">
        <f>IF(AI46="","",IF(AI46&gt;=0,VLOOKUP(AI46,$AO$20:$AP$20,2),0))</f>
        <v>#N/A</v>
      </c>
      <c r="T46" s="176" t="e">
        <f>IF(AI46="","",IF(AI46&gt;=0,VLOOKUP(AI46,$AO$21:$AP$21,2),0))</f>
        <v>#N/A</v>
      </c>
      <c r="U46" s="176" t="e">
        <f>IF(AI46="","",IF(AI46&gt;=0,VLOOKUP(AI46,$AO$22:$AP$22,2),0))</f>
        <v>#N/A</v>
      </c>
      <c r="V46" s="176" t="e">
        <f>IF(AI46="","",IF(AI46&gt;=0,VLOOKUP(AI46,$AO$23:$AP$23,2),0))</f>
        <v>#N/A</v>
      </c>
      <c r="W46" s="176" t="e">
        <f>IF(AI46="","",IF(AI46&gt;=0,VLOOKUP(AI46,$AO$24:$AP$24,2),0))</f>
        <v>#N/A</v>
      </c>
      <c r="X46" s="176" t="e">
        <f>IF(AI46="","",IF(AI46&gt;=0,VLOOKUP(AI46,$AO$25:$AP$25,2),0))</f>
        <v>#N/A</v>
      </c>
      <c r="Y46" s="176" t="e">
        <f>IF(AI46="","",IF(AI46&gt;=0,VLOOKUP(AI46,$AO$26:$AP$26,2),0))</f>
        <v>#N/A</v>
      </c>
      <c r="Z46" s="176" t="e">
        <f>IF(AI46="","",IF(AI46&gt;=0,VLOOKUP(AI46,$AO$27:$AP$27,2),0))</f>
        <v>#N/A</v>
      </c>
      <c r="AA46" s="176" t="e">
        <f t="shared" si="33"/>
        <v>#N/A</v>
      </c>
      <c r="AB46" s="176" t="e">
        <f t="shared" si="34"/>
        <v>#N/A</v>
      </c>
      <c r="AC46" s="176" t="e">
        <f t="shared" si="35"/>
        <v>#N/A</v>
      </c>
      <c r="AD46" s="176" t="e">
        <f t="shared" si="36"/>
        <v>#N/A</v>
      </c>
      <c r="AE46" s="176" t="e">
        <f t="shared" si="37"/>
        <v>#N/A</v>
      </c>
      <c r="AF46" s="176" t="e">
        <f t="shared" si="38"/>
        <v>#N/A</v>
      </c>
      <c r="AG46" s="176" t="e">
        <f t="shared" si="39"/>
        <v>#N/A</v>
      </c>
      <c r="AH46" s="176" t="e">
        <f t="shared" si="40"/>
        <v>#N/A</v>
      </c>
      <c r="AI46" s="177">
        <v>0</v>
      </c>
      <c r="AJ46" s="178"/>
      <c r="AK46" s="127"/>
      <c r="AL46" s="82">
        <v>0</v>
      </c>
      <c r="AO46" s="83"/>
      <c r="AP46" s="84"/>
    </row>
    <row r="47" spans="1:42" ht="16.5" customHeight="1">
      <c r="A47" s="128">
        <v>5</v>
      </c>
      <c r="B47" s="184"/>
      <c r="C47" s="359"/>
      <c r="D47" s="360"/>
      <c r="E47" s="360"/>
      <c r="F47" s="360"/>
      <c r="G47" s="361"/>
      <c r="H47" s="172">
        <v>5</v>
      </c>
      <c r="I47" s="371"/>
      <c r="J47" s="372"/>
      <c r="K47" s="373"/>
      <c r="L47" s="182"/>
      <c r="M47" s="182"/>
      <c r="N47" s="183"/>
      <c r="O47" s="175">
        <f t="shared" si="41"/>
        <v>0</v>
      </c>
      <c r="P47" s="176" t="e">
        <f t="shared" si="42"/>
        <v>#N/A</v>
      </c>
      <c r="Q47" s="176" t="e">
        <f t="shared" si="43"/>
        <v>#N/A</v>
      </c>
      <c r="R47" s="176" t="e">
        <f t="shared" si="44"/>
        <v>#N/A</v>
      </c>
      <c r="S47" s="176" t="e">
        <f t="shared" si="45"/>
        <v>#N/A</v>
      </c>
      <c r="T47" s="176" t="e">
        <f t="shared" si="46"/>
        <v>#N/A</v>
      </c>
      <c r="U47" s="176" t="e">
        <f t="shared" si="47"/>
        <v>#N/A</v>
      </c>
      <c r="V47" s="176" t="e">
        <f t="shared" si="48"/>
        <v>#N/A</v>
      </c>
      <c r="W47" s="176" t="e">
        <f t="shared" si="49"/>
        <v>#N/A</v>
      </c>
      <c r="X47" s="176" t="e">
        <f t="shared" si="50"/>
        <v>#N/A</v>
      </c>
      <c r="Y47" s="176" t="e">
        <f t="shared" si="51"/>
        <v>#N/A</v>
      </c>
      <c r="Z47" s="176" t="e">
        <f t="shared" si="52"/>
        <v>#N/A</v>
      </c>
      <c r="AA47" s="176" t="e">
        <f t="shared" si="33"/>
        <v>#N/A</v>
      </c>
      <c r="AB47" s="176" t="e">
        <f t="shared" si="34"/>
        <v>#N/A</v>
      </c>
      <c r="AC47" s="176" t="e">
        <f t="shared" si="35"/>
        <v>#N/A</v>
      </c>
      <c r="AD47" s="176" t="e">
        <f t="shared" si="36"/>
        <v>#N/A</v>
      </c>
      <c r="AE47" s="176" t="e">
        <f t="shared" si="37"/>
        <v>#N/A</v>
      </c>
      <c r="AF47" s="176" t="e">
        <f t="shared" si="38"/>
        <v>#N/A</v>
      </c>
      <c r="AG47" s="176" t="e">
        <f t="shared" si="39"/>
        <v>#N/A</v>
      </c>
      <c r="AH47" s="176" t="e">
        <f t="shared" si="40"/>
        <v>#N/A</v>
      </c>
      <c r="AI47" s="177">
        <v>0</v>
      </c>
      <c r="AJ47" s="178"/>
      <c r="AK47" s="127"/>
      <c r="AL47" s="82">
        <v>0</v>
      </c>
      <c r="AO47" s="83"/>
      <c r="AP47" s="84"/>
    </row>
    <row r="48" spans="1:42" ht="16.5" customHeight="1">
      <c r="A48" s="128">
        <v>6</v>
      </c>
      <c r="B48" s="184"/>
      <c r="C48" s="359"/>
      <c r="D48" s="360"/>
      <c r="E48" s="360"/>
      <c r="F48" s="360"/>
      <c r="G48" s="361"/>
      <c r="H48" s="172">
        <v>6</v>
      </c>
      <c r="I48" s="185"/>
      <c r="J48" s="186"/>
      <c r="K48" s="187"/>
      <c r="L48" s="182"/>
      <c r="M48" s="182"/>
      <c r="N48" s="183"/>
      <c r="O48" s="175">
        <f t="shared" si="41"/>
        <v>0</v>
      </c>
      <c r="P48" s="176" t="e">
        <f t="shared" si="42"/>
        <v>#N/A</v>
      </c>
      <c r="Q48" s="176" t="e">
        <f t="shared" si="43"/>
        <v>#N/A</v>
      </c>
      <c r="R48" s="176" t="e">
        <f t="shared" si="44"/>
        <v>#N/A</v>
      </c>
      <c r="S48" s="176" t="e">
        <f t="shared" si="45"/>
        <v>#N/A</v>
      </c>
      <c r="T48" s="176" t="e">
        <f t="shared" si="46"/>
        <v>#N/A</v>
      </c>
      <c r="U48" s="176" t="e">
        <f t="shared" si="47"/>
        <v>#N/A</v>
      </c>
      <c r="V48" s="176" t="e">
        <f t="shared" si="48"/>
        <v>#N/A</v>
      </c>
      <c r="W48" s="176" t="e">
        <f t="shared" si="49"/>
        <v>#N/A</v>
      </c>
      <c r="X48" s="176" t="e">
        <f t="shared" si="50"/>
        <v>#N/A</v>
      </c>
      <c r="Y48" s="176" t="e">
        <f t="shared" si="51"/>
        <v>#N/A</v>
      </c>
      <c r="Z48" s="176" t="e">
        <f t="shared" si="52"/>
        <v>#N/A</v>
      </c>
      <c r="AA48" s="176" t="e">
        <f t="shared" si="33"/>
        <v>#N/A</v>
      </c>
      <c r="AB48" s="176" t="e">
        <f t="shared" si="34"/>
        <v>#N/A</v>
      </c>
      <c r="AC48" s="176" t="e">
        <f t="shared" si="35"/>
        <v>#N/A</v>
      </c>
      <c r="AD48" s="176" t="e">
        <f t="shared" si="36"/>
        <v>#N/A</v>
      </c>
      <c r="AE48" s="176" t="e">
        <f t="shared" si="37"/>
        <v>#N/A</v>
      </c>
      <c r="AF48" s="176" t="e">
        <f t="shared" si="38"/>
        <v>#N/A</v>
      </c>
      <c r="AG48" s="176" t="e">
        <f t="shared" si="39"/>
        <v>#N/A</v>
      </c>
      <c r="AH48" s="176" t="e">
        <f t="shared" si="40"/>
        <v>#N/A</v>
      </c>
      <c r="AI48" s="177">
        <v>0</v>
      </c>
      <c r="AJ48" s="178"/>
      <c r="AK48" s="127"/>
      <c r="AL48" s="82">
        <v>0</v>
      </c>
      <c r="AO48" s="83"/>
      <c r="AP48" s="84"/>
    </row>
    <row r="49" spans="1:42" ht="16.5" customHeight="1">
      <c r="A49" s="128">
        <v>7</v>
      </c>
      <c r="B49" s="184"/>
      <c r="C49" s="359"/>
      <c r="D49" s="360"/>
      <c r="E49" s="360"/>
      <c r="F49" s="360"/>
      <c r="G49" s="361"/>
      <c r="H49" s="172">
        <v>7</v>
      </c>
      <c r="I49" s="185"/>
      <c r="J49" s="186"/>
      <c r="K49" s="187"/>
      <c r="L49" s="182"/>
      <c r="M49" s="182"/>
      <c r="N49" s="183"/>
      <c r="O49" s="175">
        <f t="shared" si="41"/>
        <v>0</v>
      </c>
      <c r="P49" s="176" t="e">
        <f t="shared" si="42"/>
        <v>#N/A</v>
      </c>
      <c r="Q49" s="176" t="e">
        <f t="shared" si="43"/>
        <v>#N/A</v>
      </c>
      <c r="R49" s="176" t="e">
        <f t="shared" si="44"/>
        <v>#N/A</v>
      </c>
      <c r="S49" s="176" t="e">
        <f t="shared" si="45"/>
        <v>#N/A</v>
      </c>
      <c r="T49" s="176" t="e">
        <f t="shared" si="46"/>
        <v>#N/A</v>
      </c>
      <c r="U49" s="176" t="e">
        <f t="shared" si="47"/>
        <v>#N/A</v>
      </c>
      <c r="V49" s="176" t="e">
        <f t="shared" si="48"/>
        <v>#N/A</v>
      </c>
      <c r="W49" s="176" t="e">
        <f t="shared" si="49"/>
        <v>#N/A</v>
      </c>
      <c r="X49" s="176" t="e">
        <f t="shared" si="50"/>
        <v>#N/A</v>
      </c>
      <c r="Y49" s="176" t="e">
        <f t="shared" si="51"/>
        <v>#N/A</v>
      </c>
      <c r="Z49" s="176" t="e">
        <f t="shared" si="52"/>
        <v>#N/A</v>
      </c>
      <c r="AA49" s="176" t="e">
        <f t="shared" si="33"/>
        <v>#N/A</v>
      </c>
      <c r="AB49" s="176" t="e">
        <f t="shared" si="34"/>
        <v>#N/A</v>
      </c>
      <c r="AC49" s="176" t="e">
        <f t="shared" si="35"/>
        <v>#N/A</v>
      </c>
      <c r="AD49" s="176" t="e">
        <f t="shared" si="36"/>
        <v>#N/A</v>
      </c>
      <c r="AE49" s="176" t="e">
        <f t="shared" si="37"/>
        <v>#N/A</v>
      </c>
      <c r="AF49" s="176" t="e">
        <f t="shared" si="38"/>
        <v>#N/A</v>
      </c>
      <c r="AG49" s="176" t="e">
        <f t="shared" si="39"/>
        <v>#N/A</v>
      </c>
      <c r="AH49" s="176" t="e">
        <f t="shared" si="40"/>
        <v>#N/A</v>
      </c>
      <c r="AI49" s="177">
        <v>0</v>
      </c>
      <c r="AJ49" s="178"/>
      <c r="AK49" s="127"/>
      <c r="AL49" s="82">
        <v>0</v>
      </c>
      <c r="AO49" s="83"/>
      <c r="AP49" s="84"/>
    </row>
    <row r="50" spans="1:42" ht="16.5" customHeight="1">
      <c r="A50" s="128">
        <v>8</v>
      </c>
      <c r="B50" s="184"/>
      <c r="C50" s="359"/>
      <c r="D50" s="360"/>
      <c r="E50" s="360"/>
      <c r="F50" s="360"/>
      <c r="G50" s="361"/>
      <c r="H50" s="172">
        <v>8</v>
      </c>
      <c r="I50" s="368"/>
      <c r="J50" s="369"/>
      <c r="K50" s="370"/>
      <c r="L50" s="182"/>
      <c r="M50" s="182"/>
      <c r="N50" s="183"/>
      <c r="O50" s="175">
        <f t="shared" si="41"/>
        <v>0</v>
      </c>
      <c r="P50" s="176" t="e">
        <f t="shared" si="42"/>
        <v>#N/A</v>
      </c>
      <c r="Q50" s="176" t="e">
        <f t="shared" si="43"/>
        <v>#N/A</v>
      </c>
      <c r="R50" s="176" t="e">
        <f t="shared" si="44"/>
        <v>#N/A</v>
      </c>
      <c r="S50" s="176" t="e">
        <f t="shared" si="45"/>
        <v>#N/A</v>
      </c>
      <c r="T50" s="176" t="e">
        <f t="shared" si="46"/>
        <v>#N/A</v>
      </c>
      <c r="U50" s="176" t="e">
        <f t="shared" si="47"/>
        <v>#N/A</v>
      </c>
      <c r="V50" s="176" t="e">
        <f t="shared" si="48"/>
        <v>#N/A</v>
      </c>
      <c r="W50" s="176" t="e">
        <f t="shared" si="49"/>
        <v>#N/A</v>
      </c>
      <c r="X50" s="176" t="e">
        <f t="shared" si="50"/>
        <v>#N/A</v>
      </c>
      <c r="Y50" s="176" t="e">
        <f t="shared" si="51"/>
        <v>#N/A</v>
      </c>
      <c r="Z50" s="176" t="e">
        <f t="shared" si="52"/>
        <v>#N/A</v>
      </c>
      <c r="AA50" s="176" t="e">
        <f t="shared" si="33"/>
        <v>#N/A</v>
      </c>
      <c r="AB50" s="176" t="e">
        <f t="shared" si="34"/>
        <v>#N/A</v>
      </c>
      <c r="AC50" s="176" t="e">
        <f t="shared" si="35"/>
        <v>#N/A</v>
      </c>
      <c r="AD50" s="176" t="e">
        <f t="shared" si="36"/>
        <v>#N/A</v>
      </c>
      <c r="AE50" s="176" t="e">
        <f t="shared" si="37"/>
        <v>#N/A</v>
      </c>
      <c r="AF50" s="176" t="e">
        <f t="shared" si="38"/>
        <v>#N/A</v>
      </c>
      <c r="AG50" s="176" t="e">
        <f t="shared" si="39"/>
        <v>#N/A</v>
      </c>
      <c r="AH50" s="176" t="e">
        <f t="shared" si="40"/>
        <v>#N/A</v>
      </c>
      <c r="AI50" s="177">
        <v>0</v>
      </c>
      <c r="AJ50" s="178"/>
      <c r="AK50" s="127"/>
      <c r="AL50" s="82">
        <v>0</v>
      </c>
      <c r="AO50" s="83"/>
      <c r="AP50" s="84"/>
    </row>
    <row r="51" spans="1:42" ht="16.5" customHeight="1">
      <c r="A51" s="128">
        <v>9</v>
      </c>
      <c r="B51" s="184"/>
      <c r="C51" s="359"/>
      <c r="D51" s="360"/>
      <c r="E51" s="360"/>
      <c r="F51" s="360"/>
      <c r="G51" s="361"/>
      <c r="H51" s="172">
        <v>9</v>
      </c>
      <c r="I51" s="368"/>
      <c r="J51" s="369"/>
      <c r="K51" s="370"/>
      <c r="L51" s="182"/>
      <c r="M51" s="182"/>
      <c r="N51" s="183"/>
      <c r="O51" s="175">
        <f t="shared" si="41"/>
        <v>0</v>
      </c>
      <c r="P51" s="176" t="e">
        <f t="shared" si="42"/>
        <v>#N/A</v>
      </c>
      <c r="Q51" s="176" t="e">
        <f t="shared" si="43"/>
        <v>#N/A</v>
      </c>
      <c r="R51" s="176" t="e">
        <f t="shared" si="44"/>
        <v>#N/A</v>
      </c>
      <c r="S51" s="176" t="e">
        <f t="shared" si="45"/>
        <v>#N/A</v>
      </c>
      <c r="T51" s="176" t="e">
        <f t="shared" si="46"/>
        <v>#N/A</v>
      </c>
      <c r="U51" s="176" t="e">
        <f t="shared" si="47"/>
        <v>#N/A</v>
      </c>
      <c r="V51" s="176" t="e">
        <f t="shared" si="48"/>
        <v>#N/A</v>
      </c>
      <c r="W51" s="176" t="e">
        <f t="shared" si="49"/>
        <v>#N/A</v>
      </c>
      <c r="X51" s="176" t="e">
        <f t="shared" si="50"/>
        <v>#N/A</v>
      </c>
      <c r="Y51" s="176" t="e">
        <f t="shared" si="51"/>
        <v>#N/A</v>
      </c>
      <c r="Z51" s="176" t="e">
        <f t="shared" si="52"/>
        <v>#N/A</v>
      </c>
      <c r="AA51" s="176" t="e">
        <f t="shared" si="33"/>
        <v>#N/A</v>
      </c>
      <c r="AB51" s="176" t="e">
        <f t="shared" si="34"/>
        <v>#N/A</v>
      </c>
      <c r="AC51" s="176" t="e">
        <f t="shared" si="35"/>
        <v>#N/A</v>
      </c>
      <c r="AD51" s="176" t="e">
        <f t="shared" si="36"/>
        <v>#N/A</v>
      </c>
      <c r="AE51" s="176" t="e">
        <f t="shared" si="37"/>
        <v>#N/A</v>
      </c>
      <c r="AF51" s="176" t="e">
        <f t="shared" si="38"/>
        <v>#N/A</v>
      </c>
      <c r="AG51" s="176" t="e">
        <f t="shared" si="39"/>
        <v>#N/A</v>
      </c>
      <c r="AH51" s="176" t="e">
        <f t="shared" si="40"/>
        <v>#N/A</v>
      </c>
      <c r="AI51" s="177">
        <v>0</v>
      </c>
      <c r="AJ51" s="178"/>
      <c r="AK51" s="127"/>
      <c r="AL51" s="82">
        <v>90</v>
      </c>
      <c r="AO51" s="83"/>
      <c r="AP51" s="84"/>
    </row>
    <row r="52" spans="1:42" ht="16.5" customHeight="1">
      <c r="A52" s="128">
        <v>11</v>
      </c>
      <c r="B52" s="184"/>
      <c r="C52" s="359"/>
      <c r="D52" s="360"/>
      <c r="E52" s="360"/>
      <c r="F52" s="360"/>
      <c r="G52" s="361"/>
      <c r="H52" s="172">
        <v>11</v>
      </c>
      <c r="I52" s="188"/>
      <c r="J52" s="189"/>
      <c r="K52" s="190"/>
      <c r="L52" s="191"/>
      <c r="M52" s="182"/>
      <c r="N52" s="183"/>
      <c r="O52" s="175">
        <f t="shared" si="41"/>
        <v>0</v>
      </c>
      <c r="P52" s="176" t="e">
        <f t="shared" si="42"/>
        <v>#N/A</v>
      </c>
      <c r="Q52" s="176" t="e">
        <f t="shared" si="43"/>
        <v>#N/A</v>
      </c>
      <c r="R52" s="176" t="e">
        <f t="shared" si="44"/>
        <v>#N/A</v>
      </c>
      <c r="S52" s="176" t="e">
        <f t="shared" si="45"/>
        <v>#N/A</v>
      </c>
      <c r="T52" s="176" t="e">
        <f t="shared" si="46"/>
        <v>#N/A</v>
      </c>
      <c r="U52" s="176" t="e">
        <f t="shared" si="47"/>
        <v>#N/A</v>
      </c>
      <c r="V52" s="176" t="e">
        <f t="shared" si="48"/>
        <v>#N/A</v>
      </c>
      <c r="W52" s="176" t="e">
        <f t="shared" si="49"/>
        <v>#N/A</v>
      </c>
      <c r="X52" s="176" t="e">
        <f t="shared" si="50"/>
        <v>#N/A</v>
      </c>
      <c r="Y52" s="176" t="e">
        <f t="shared" si="51"/>
        <v>#N/A</v>
      </c>
      <c r="Z52" s="176" t="e">
        <f t="shared" si="52"/>
        <v>#N/A</v>
      </c>
      <c r="AA52" s="176" t="e">
        <f t="shared" si="33"/>
        <v>#N/A</v>
      </c>
      <c r="AB52" s="176" t="e">
        <f t="shared" si="34"/>
        <v>#N/A</v>
      </c>
      <c r="AC52" s="176" t="e">
        <f t="shared" si="35"/>
        <v>#N/A</v>
      </c>
      <c r="AD52" s="176" t="e">
        <f t="shared" si="36"/>
        <v>#N/A</v>
      </c>
      <c r="AE52" s="176" t="e">
        <f t="shared" si="37"/>
        <v>#N/A</v>
      </c>
      <c r="AF52" s="176" t="e">
        <f t="shared" si="38"/>
        <v>#N/A</v>
      </c>
      <c r="AG52" s="176" t="e">
        <f t="shared" si="39"/>
        <v>#N/A</v>
      </c>
      <c r="AH52" s="176" t="e">
        <f t="shared" si="40"/>
        <v>#N/A</v>
      </c>
      <c r="AI52" s="177">
        <v>0</v>
      </c>
      <c r="AJ52" s="178"/>
      <c r="AK52" s="127"/>
      <c r="AL52" s="82">
        <v>0</v>
      </c>
      <c r="AO52" s="83"/>
      <c r="AP52" s="84"/>
    </row>
    <row r="53" spans="1:42" ht="16.5" customHeight="1">
      <c r="A53" s="128">
        <v>12</v>
      </c>
      <c r="B53" s="184"/>
      <c r="C53" s="359"/>
      <c r="D53" s="360"/>
      <c r="E53" s="360"/>
      <c r="F53" s="360"/>
      <c r="G53" s="361"/>
      <c r="H53" s="172">
        <v>12</v>
      </c>
      <c r="I53" s="185"/>
      <c r="J53" s="186"/>
      <c r="K53" s="187"/>
      <c r="L53" s="182"/>
      <c r="M53" s="182"/>
      <c r="N53" s="183"/>
      <c r="O53" s="175">
        <f t="shared" si="41"/>
        <v>0</v>
      </c>
      <c r="P53" s="176" t="e">
        <f t="shared" si="42"/>
        <v>#N/A</v>
      </c>
      <c r="Q53" s="176" t="e">
        <f t="shared" si="43"/>
        <v>#N/A</v>
      </c>
      <c r="R53" s="176" t="e">
        <f t="shared" si="44"/>
        <v>#N/A</v>
      </c>
      <c r="S53" s="176" t="e">
        <f t="shared" si="45"/>
        <v>#N/A</v>
      </c>
      <c r="T53" s="176" t="e">
        <f t="shared" si="46"/>
        <v>#N/A</v>
      </c>
      <c r="U53" s="176" t="e">
        <f t="shared" si="47"/>
        <v>#N/A</v>
      </c>
      <c r="V53" s="176" t="e">
        <f t="shared" si="48"/>
        <v>#N/A</v>
      </c>
      <c r="W53" s="176" t="e">
        <f t="shared" si="49"/>
        <v>#N/A</v>
      </c>
      <c r="X53" s="176" t="e">
        <f t="shared" si="50"/>
        <v>#N/A</v>
      </c>
      <c r="Y53" s="176" t="e">
        <f t="shared" si="51"/>
        <v>#N/A</v>
      </c>
      <c r="Z53" s="176" t="e">
        <f t="shared" si="52"/>
        <v>#N/A</v>
      </c>
      <c r="AA53" s="176" t="e">
        <f t="shared" si="33"/>
        <v>#N/A</v>
      </c>
      <c r="AB53" s="176" t="e">
        <f t="shared" si="34"/>
        <v>#N/A</v>
      </c>
      <c r="AC53" s="176" t="e">
        <f t="shared" si="35"/>
        <v>#N/A</v>
      </c>
      <c r="AD53" s="176" t="e">
        <f t="shared" si="36"/>
        <v>#N/A</v>
      </c>
      <c r="AE53" s="176" t="e">
        <f t="shared" si="37"/>
        <v>#N/A</v>
      </c>
      <c r="AF53" s="176" t="e">
        <f t="shared" si="38"/>
        <v>#N/A</v>
      </c>
      <c r="AG53" s="176" t="e">
        <f t="shared" si="39"/>
        <v>#N/A</v>
      </c>
      <c r="AH53" s="176" t="e">
        <f t="shared" si="40"/>
        <v>#N/A</v>
      </c>
      <c r="AI53" s="177">
        <v>0</v>
      </c>
      <c r="AJ53" s="178"/>
      <c r="AK53" s="127"/>
      <c r="AL53" s="82">
        <v>100</v>
      </c>
      <c r="AO53" s="83"/>
      <c r="AP53" s="84"/>
    </row>
    <row r="54" spans="1:42" ht="16.5" customHeight="1">
      <c r="A54" s="128">
        <v>13</v>
      </c>
      <c r="B54" s="184"/>
      <c r="C54" s="359"/>
      <c r="D54" s="360"/>
      <c r="E54" s="360"/>
      <c r="F54" s="360"/>
      <c r="G54" s="361"/>
      <c r="H54" s="172">
        <v>13</v>
      </c>
      <c r="I54" s="371"/>
      <c r="J54" s="372"/>
      <c r="K54" s="373"/>
      <c r="L54" s="182"/>
      <c r="M54" s="182"/>
      <c r="N54" s="183"/>
      <c r="O54" s="175">
        <f t="shared" si="41"/>
        <v>0</v>
      </c>
      <c r="P54" s="176" t="e">
        <f t="shared" si="42"/>
        <v>#N/A</v>
      </c>
      <c r="Q54" s="176" t="e">
        <f t="shared" si="43"/>
        <v>#N/A</v>
      </c>
      <c r="R54" s="176" t="e">
        <f t="shared" si="44"/>
        <v>#N/A</v>
      </c>
      <c r="S54" s="176" t="e">
        <f t="shared" si="45"/>
        <v>#N/A</v>
      </c>
      <c r="T54" s="176" t="e">
        <f t="shared" si="46"/>
        <v>#N/A</v>
      </c>
      <c r="U54" s="176" t="e">
        <f t="shared" si="47"/>
        <v>#N/A</v>
      </c>
      <c r="V54" s="176" t="e">
        <f t="shared" si="48"/>
        <v>#N/A</v>
      </c>
      <c r="W54" s="176" t="e">
        <f t="shared" si="49"/>
        <v>#N/A</v>
      </c>
      <c r="X54" s="176" t="e">
        <f t="shared" si="50"/>
        <v>#N/A</v>
      </c>
      <c r="Y54" s="176" t="e">
        <f t="shared" si="51"/>
        <v>#N/A</v>
      </c>
      <c r="Z54" s="176" t="e">
        <f t="shared" si="52"/>
        <v>#N/A</v>
      </c>
      <c r="AA54" s="176" t="e">
        <f t="shared" si="33"/>
        <v>#N/A</v>
      </c>
      <c r="AB54" s="176" t="e">
        <f t="shared" si="34"/>
        <v>#N/A</v>
      </c>
      <c r="AC54" s="176" t="e">
        <f t="shared" si="35"/>
        <v>#N/A</v>
      </c>
      <c r="AD54" s="176" t="e">
        <f t="shared" si="36"/>
        <v>#N/A</v>
      </c>
      <c r="AE54" s="176" t="e">
        <f t="shared" si="37"/>
        <v>#N/A</v>
      </c>
      <c r="AF54" s="176" t="e">
        <f t="shared" si="38"/>
        <v>#N/A</v>
      </c>
      <c r="AG54" s="176" t="e">
        <f t="shared" si="39"/>
        <v>#N/A</v>
      </c>
      <c r="AH54" s="176" t="e">
        <f t="shared" si="40"/>
        <v>#N/A</v>
      </c>
      <c r="AI54" s="177">
        <v>0</v>
      </c>
      <c r="AJ54" s="178"/>
      <c r="AK54" s="127"/>
      <c r="AL54" s="82">
        <v>100</v>
      </c>
      <c r="AO54" s="83"/>
      <c r="AP54" s="84"/>
    </row>
    <row r="55" spans="1:42" ht="16.5" customHeight="1">
      <c r="A55" s="128">
        <v>14</v>
      </c>
      <c r="B55" s="184"/>
      <c r="C55" s="359"/>
      <c r="D55" s="360"/>
      <c r="E55" s="360"/>
      <c r="F55" s="360"/>
      <c r="G55" s="361"/>
      <c r="H55" s="172">
        <v>14</v>
      </c>
      <c r="I55" s="185"/>
      <c r="J55" s="186"/>
      <c r="K55" s="187"/>
      <c r="L55" s="182"/>
      <c r="M55" s="182"/>
      <c r="N55" s="183"/>
      <c r="O55" s="175">
        <f t="shared" si="41"/>
        <v>0</v>
      </c>
      <c r="P55" s="176" t="e">
        <f t="shared" si="42"/>
        <v>#N/A</v>
      </c>
      <c r="Q55" s="176" t="e">
        <f t="shared" si="43"/>
        <v>#N/A</v>
      </c>
      <c r="R55" s="176" t="e">
        <f t="shared" si="44"/>
        <v>#N/A</v>
      </c>
      <c r="S55" s="176" t="e">
        <f t="shared" si="45"/>
        <v>#N/A</v>
      </c>
      <c r="T55" s="176" t="e">
        <f t="shared" si="46"/>
        <v>#N/A</v>
      </c>
      <c r="U55" s="176" t="e">
        <f t="shared" si="47"/>
        <v>#N/A</v>
      </c>
      <c r="V55" s="176" t="e">
        <f t="shared" si="48"/>
        <v>#N/A</v>
      </c>
      <c r="W55" s="176" t="e">
        <f t="shared" si="49"/>
        <v>#N/A</v>
      </c>
      <c r="X55" s="176" t="e">
        <f t="shared" si="50"/>
        <v>#N/A</v>
      </c>
      <c r="Y55" s="176" t="e">
        <f t="shared" si="51"/>
        <v>#N/A</v>
      </c>
      <c r="Z55" s="176" t="e">
        <f t="shared" si="52"/>
        <v>#N/A</v>
      </c>
      <c r="AA55" s="176" t="e">
        <f t="shared" si="33"/>
        <v>#N/A</v>
      </c>
      <c r="AB55" s="176" t="e">
        <f t="shared" si="34"/>
        <v>#N/A</v>
      </c>
      <c r="AC55" s="176" t="e">
        <f t="shared" si="35"/>
        <v>#N/A</v>
      </c>
      <c r="AD55" s="176" t="e">
        <f t="shared" si="36"/>
        <v>#N/A</v>
      </c>
      <c r="AE55" s="176" t="e">
        <f t="shared" si="37"/>
        <v>#N/A</v>
      </c>
      <c r="AF55" s="176" t="e">
        <f t="shared" si="38"/>
        <v>#N/A</v>
      </c>
      <c r="AG55" s="176" t="e">
        <f t="shared" si="39"/>
        <v>#N/A</v>
      </c>
      <c r="AH55" s="176" t="e">
        <f t="shared" si="40"/>
        <v>#N/A</v>
      </c>
      <c r="AI55" s="177">
        <v>0</v>
      </c>
      <c r="AJ55" s="178"/>
      <c r="AK55" s="127"/>
      <c r="AL55" s="82">
        <v>100</v>
      </c>
      <c r="AO55" s="83"/>
      <c r="AP55" s="84"/>
    </row>
    <row r="56" spans="1:42" ht="16.5" customHeight="1">
      <c r="A56" s="128"/>
      <c r="B56" s="129"/>
      <c r="C56" s="359"/>
      <c r="D56" s="360"/>
      <c r="E56" s="360"/>
      <c r="F56" s="360"/>
      <c r="G56" s="361"/>
      <c r="H56" s="172">
        <v>15</v>
      </c>
      <c r="I56" s="371"/>
      <c r="J56" s="372"/>
      <c r="K56" s="373"/>
      <c r="L56" s="182"/>
      <c r="M56" s="182"/>
      <c r="N56" s="183"/>
      <c r="O56" s="175">
        <f t="shared" si="41"/>
        <v>0</v>
      </c>
      <c r="P56" s="176" t="e">
        <f t="shared" si="42"/>
        <v>#N/A</v>
      </c>
      <c r="Q56" s="176" t="e">
        <f t="shared" si="43"/>
        <v>#N/A</v>
      </c>
      <c r="R56" s="176" t="e">
        <f t="shared" si="44"/>
        <v>#N/A</v>
      </c>
      <c r="S56" s="176" t="e">
        <f t="shared" si="45"/>
        <v>#N/A</v>
      </c>
      <c r="T56" s="176" t="e">
        <f t="shared" si="46"/>
        <v>#N/A</v>
      </c>
      <c r="U56" s="176" t="e">
        <f t="shared" si="47"/>
        <v>#N/A</v>
      </c>
      <c r="V56" s="176" t="e">
        <f t="shared" si="48"/>
        <v>#N/A</v>
      </c>
      <c r="W56" s="176" t="e">
        <f t="shared" si="49"/>
        <v>#N/A</v>
      </c>
      <c r="X56" s="176" t="e">
        <f t="shared" si="50"/>
        <v>#N/A</v>
      </c>
      <c r="Y56" s="176" t="e">
        <f t="shared" si="51"/>
        <v>#N/A</v>
      </c>
      <c r="Z56" s="176" t="e">
        <f t="shared" si="52"/>
        <v>#N/A</v>
      </c>
      <c r="AA56" s="176" t="e">
        <f t="shared" si="33"/>
        <v>#N/A</v>
      </c>
      <c r="AB56" s="176" t="e">
        <f t="shared" si="34"/>
        <v>#N/A</v>
      </c>
      <c r="AC56" s="176" t="e">
        <f t="shared" si="35"/>
        <v>#N/A</v>
      </c>
      <c r="AD56" s="176" t="e">
        <f t="shared" si="36"/>
        <v>#N/A</v>
      </c>
      <c r="AE56" s="176" t="e">
        <f t="shared" si="37"/>
        <v>#N/A</v>
      </c>
      <c r="AF56" s="176" t="e">
        <f t="shared" si="38"/>
        <v>#N/A</v>
      </c>
      <c r="AG56" s="176" t="e">
        <f t="shared" si="39"/>
        <v>#N/A</v>
      </c>
      <c r="AH56" s="176" t="e">
        <f t="shared" si="40"/>
        <v>#N/A</v>
      </c>
      <c r="AI56" s="177">
        <v>0</v>
      </c>
      <c r="AJ56" s="178"/>
      <c r="AK56" s="127"/>
      <c r="AL56" s="82">
        <v>0</v>
      </c>
      <c r="AO56" s="83"/>
      <c r="AP56" s="84"/>
    </row>
    <row r="57" spans="1:42" ht="16.5" customHeight="1">
      <c r="A57" s="128"/>
      <c r="B57" s="129"/>
      <c r="C57" s="359"/>
      <c r="D57" s="360"/>
      <c r="E57" s="360"/>
      <c r="F57" s="360"/>
      <c r="G57" s="361"/>
      <c r="H57" s="172">
        <v>16</v>
      </c>
      <c r="I57" s="371"/>
      <c r="J57" s="372"/>
      <c r="K57" s="373"/>
      <c r="L57" s="182"/>
      <c r="M57" s="182"/>
      <c r="N57" s="183"/>
      <c r="O57" s="175">
        <f>IF(AI57="","",IF(AI57&lt;&gt;0,VLOOKUP(AI57,$AO$16:$AP$16,2),0))</f>
        <v>0</v>
      </c>
      <c r="P57" s="176" t="e">
        <f>IF(AI57="","",IF(AI57&gt;=0,VLOOKUP(AI57,$AO$17:$AP$17,2),0))</f>
        <v>#N/A</v>
      </c>
      <c r="Q57" s="176" t="e">
        <f>IF(AI57="","",IF(AI57&gt;=0,VLOOKUP(AI57,$AO$18:$AP$18,2),0))</f>
        <v>#N/A</v>
      </c>
      <c r="R57" s="176" t="e">
        <f>IF(AI57="","",IF(AI57&gt;=0,VLOOKUP(AI57,$AO$19:$AP$19,2),0))</f>
        <v>#N/A</v>
      </c>
      <c r="S57" s="176" t="e">
        <f>IF(AI57="","",IF(AI57&gt;=0,VLOOKUP(AI57,$AO$20:$AP$20,2),0))</f>
        <v>#N/A</v>
      </c>
      <c r="T57" s="176" t="e">
        <f>IF(AI57="","",IF(AI57&gt;=0,VLOOKUP(AI57,$AO$21:$AP$21,2),0))</f>
        <v>#N/A</v>
      </c>
      <c r="U57" s="176" t="e">
        <f>IF(AI57="","",IF(AI57&gt;=0,VLOOKUP(AI57,$AO$22:$AP$22,2),0))</f>
        <v>#N/A</v>
      </c>
      <c r="V57" s="176" t="e">
        <f>IF(AI57="","",IF(AI57&gt;=0,VLOOKUP(AI57,$AO$23:$AP$23,2),0))</f>
        <v>#N/A</v>
      </c>
      <c r="W57" s="176" t="e">
        <f>IF(AI57="","",IF(AI57&gt;=0,VLOOKUP(AI57,$AO$24:$AP$24,2),0))</f>
        <v>#N/A</v>
      </c>
      <c r="X57" s="176" t="e">
        <f>IF(AI57="","",IF(AI57&gt;=0,VLOOKUP(AI57,$AO$25:$AP$25,2),0))</f>
        <v>#N/A</v>
      </c>
      <c r="Y57" s="176" t="e">
        <f>IF(AI57="","",IF(AI57&gt;=0,VLOOKUP(AI57,$AO$26:$AP$26,2),0))</f>
        <v>#N/A</v>
      </c>
      <c r="Z57" s="176" t="e">
        <f>IF(AI57="","",IF(AI57&gt;=0,VLOOKUP(AI57,$AO$27:$AP$27,2),0))</f>
        <v>#N/A</v>
      </c>
      <c r="AA57" s="176" t="e">
        <f t="shared" si="33"/>
        <v>#N/A</v>
      </c>
      <c r="AB57" s="176" t="e">
        <f t="shared" si="34"/>
        <v>#N/A</v>
      </c>
      <c r="AC57" s="176" t="e">
        <f t="shared" si="35"/>
        <v>#N/A</v>
      </c>
      <c r="AD57" s="176" t="e">
        <f t="shared" si="36"/>
        <v>#N/A</v>
      </c>
      <c r="AE57" s="176" t="e">
        <f t="shared" si="37"/>
        <v>#N/A</v>
      </c>
      <c r="AF57" s="176" t="e">
        <f t="shared" si="38"/>
        <v>#N/A</v>
      </c>
      <c r="AG57" s="176" t="e">
        <f t="shared" si="39"/>
        <v>#N/A</v>
      </c>
      <c r="AH57" s="176" t="e">
        <f t="shared" si="40"/>
        <v>#N/A</v>
      </c>
      <c r="AI57" s="177">
        <f>AL57/100</f>
        <v>0</v>
      </c>
      <c r="AJ57" s="178"/>
      <c r="AK57" s="127"/>
      <c r="AL57" s="82">
        <v>0</v>
      </c>
      <c r="AO57" s="83"/>
      <c r="AP57" s="84"/>
    </row>
    <row r="58" spans="1:42" ht="16.5" customHeight="1">
      <c r="A58" s="142"/>
      <c r="B58" s="143"/>
      <c r="C58" s="350"/>
      <c r="D58" s="351"/>
      <c r="E58" s="351"/>
      <c r="F58" s="351"/>
      <c r="G58" s="352"/>
      <c r="H58" s="192"/>
      <c r="I58" s="374"/>
      <c r="J58" s="375"/>
      <c r="K58" s="376"/>
      <c r="L58" s="193"/>
      <c r="M58" s="193"/>
      <c r="N58" s="194"/>
      <c r="O58" s="195">
        <f>IF(AI58="","",IF(AI58&lt;&gt;0,VLOOKUP(AI58,$AO$16:$AP$16,2),0))</f>
        <v>0</v>
      </c>
      <c r="P58" s="196" t="e">
        <f>IF(AI58="","",IF(AI58&gt;=0,VLOOKUP(AI58,$AO$17:$AP$17,2),0))</f>
        <v>#N/A</v>
      </c>
      <c r="Q58" s="196" t="e">
        <f>IF(AI58="","",IF(AI58&gt;=0,VLOOKUP(AI58,$AO$18:$AP$18,2),0))</f>
        <v>#N/A</v>
      </c>
      <c r="R58" s="196" t="e">
        <f>IF(AI58="","",IF(AI58&gt;=0,VLOOKUP(AI58,$AO$19:$AP$19,2),0))</f>
        <v>#N/A</v>
      </c>
      <c r="S58" s="196" t="e">
        <f>IF(AI58="","",IF(AI58&gt;=0,VLOOKUP(AI58,$AO$20:$AP$20,2),0))</f>
        <v>#N/A</v>
      </c>
      <c r="T58" s="196" t="e">
        <f>IF(AI58="","",IF(AI58&gt;=0,VLOOKUP(AI58,$AO$21:$AP$21,2),0))</f>
        <v>#N/A</v>
      </c>
      <c r="U58" s="196" t="e">
        <f>IF(AI58="","",IF(AI58&gt;=0,VLOOKUP(AI58,$AO$22:$AP$22,2),0))</f>
        <v>#N/A</v>
      </c>
      <c r="V58" s="196" t="e">
        <f>IF(AI58="","",IF(AI58&gt;=0,VLOOKUP(AI58,$AO$23:$AP$23,2),0))</f>
        <v>#N/A</v>
      </c>
      <c r="W58" s="196" t="e">
        <f>IF(AI58="","",IF(AI58&gt;=0,VLOOKUP(AI58,$AO$24:$AP$24,2),0))</f>
        <v>#N/A</v>
      </c>
      <c r="X58" s="196" t="e">
        <f>IF(AI58="","",IF(AI58&gt;=0,VLOOKUP(AI58,$AO$25:$AP$25,2),0))</f>
        <v>#N/A</v>
      </c>
      <c r="Y58" s="196" t="e">
        <f>IF(AI58="","",IF(AI58&gt;=0,VLOOKUP(AI58,$AO$26:$AP$26,2),0))</f>
        <v>#N/A</v>
      </c>
      <c r="Z58" s="196" t="e">
        <f>IF(AI58="","",IF(AI58&gt;=0,VLOOKUP(AI58,$AO$27:$AP$27,2),0))</f>
        <v>#N/A</v>
      </c>
      <c r="AA58" s="196" t="e">
        <f t="shared" si="33"/>
        <v>#N/A</v>
      </c>
      <c r="AB58" s="196" t="e">
        <f t="shared" si="34"/>
        <v>#N/A</v>
      </c>
      <c r="AC58" s="196" t="e">
        <f t="shared" si="35"/>
        <v>#N/A</v>
      </c>
      <c r="AD58" s="196" t="e">
        <f t="shared" si="36"/>
        <v>#N/A</v>
      </c>
      <c r="AE58" s="196" t="e">
        <f t="shared" si="37"/>
        <v>#N/A</v>
      </c>
      <c r="AF58" s="196" t="e">
        <f t="shared" si="38"/>
        <v>#N/A</v>
      </c>
      <c r="AG58" s="196" t="e">
        <f t="shared" si="39"/>
        <v>#N/A</v>
      </c>
      <c r="AH58" s="196" t="e">
        <f t="shared" si="40"/>
        <v>#N/A</v>
      </c>
      <c r="AI58" s="197">
        <f>AL58/100</f>
        <v>0</v>
      </c>
      <c r="AJ58" s="198"/>
      <c r="AK58" s="127"/>
      <c r="AL58" s="82"/>
      <c r="AO58" s="83"/>
      <c r="AP58" s="84"/>
    </row>
    <row r="59" spans="1:42" ht="26.25" customHeight="1">
      <c r="A59" s="199"/>
      <c r="B59" s="200"/>
      <c r="C59" s="377"/>
      <c r="D59" s="377"/>
      <c r="E59" s="377"/>
      <c r="F59" s="377"/>
      <c r="G59" s="377"/>
      <c r="H59" s="201" t="s">
        <v>43</v>
      </c>
      <c r="I59" s="201"/>
      <c r="J59" s="201"/>
      <c r="K59" s="202"/>
      <c r="L59" s="203"/>
      <c r="M59" s="203"/>
      <c r="N59" s="204"/>
      <c r="O59" s="205"/>
      <c r="P59" s="205"/>
      <c r="Q59" s="205"/>
      <c r="R59" s="205"/>
      <c r="S59" s="378"/>
      <c r="T59" s="378"/>
      <c r="U59" s="205"/>
      <c r="V59" s="205"/>
      <c r="W59" s="205"/>
      <c r="X59" s="205"/>
      <c r="Y59" s="378"/>
      <c r="Z59" s="378"/>
      <c r="AA59" s="206"/>
      <c r="AB59" s="206"/>
      <c r="AC59" s="206"/>
      <c r="AD59" s="205"/>
      <c r="AE59" s="378"/>
      <c r="AF59" s="378"/>
      <c r="AG59" s="205"/>
      <c r="AH59" s="205"/>
      <c r="AI59" s="207"/>
      <c r="AJ59" s="208"/>
      <c r="AK59" s="127"/>
      <c r="AL59" s="209"/>
      <c r="AO59" s="83">
        <v>0.7</v>
      </c>
      <c r="AP59" s="84" t="s">
        <v>25</v>
      </c>
    </row>
    <row r="60" spans="1:42" s="152" customFormat="1" ht="34.5" customHeight="1">
      <c r="A60" s="379" t="s">
        <v>44</v>
      </c>
      <c r="B60" s="380"/>
      <c r="C60" s="380"/>
      <c r="D60" s="380"/>
      <c r="E60" s="380"/>
      <c r="F60" s="380"/>
      <c r="G60" s="380"/>
      <c r="H60" s="380"/>
      <c r="I60" s="380"/>
      <c r="J60" s="381"/>
      <c r="K60" s="382" t="s">
        <v>91</v>
      </c>
      <c r="L60" s="382"/>
      <c r="M60" s="382"/>
      <c r="N60" s="382"/>
      <c r="O60" s="382"/>
      <c r="P60" s="382"/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150"/>
      <c r="AL60" s="210"/>
      <c r="AO60" s="153"/>
      <c r="AP60" s="154"/>
    </row>
    <row r="61" spans="1:42" ht="49.5" customHeight="1">
      <c r="A61" s="320" t="s">
        <v>13</v>
      </c>
      <c r="B61" s="384" t="s">
        <v>45</v>
      </c>
      <c r="C61" s="386" t="s">
        <v>46</v>
      </c>
      <c r="D61" s="386"/>
      <c r="E61" s="386"/>
      <c r="F61" s="386" t="s">
        <v>47</v>
      </c>
      <c r="G61" s="386"/>
      <c r="H61" s="386"/>
      <c r="I61" s="386"/>
      <c r="J61" s="386" t="s">
        <v>46</v>
      </c>
      <c r="K61" s="388" t="s">
        <v>48</v>
      </c>
      <c r="L61" s="388"/>
      <c r="M61" s="388"/>
      <c r="N61" s="388"/>
      <c r="O61" s="388"/>
      <c r="P61" s="388"/>
      <c r="Q61" s="388"/>
      <c r="R61" s="388"/>
      <c r="S61" s="388"/>
      <c r="T61" s="390" t="s">
        <v>49</v>
      </c>
      <c r="U61" s="391"/>
      <c r="V61" s="391"/>
      <c r="W61" s="391"/>
      <c r="X61" s="391"/>
      <c r="Y61" s="391"/>
      <c r="Z61" s="391"/>
      <c r="AA61" s="391"/>
      <c r="AB61" s="391"/>
      <c r="AC61" s="391"/>
      <c r="AD61" s="391"/>
      <c r="AE61" s="391"/>
      <c r="AF61" s="391"/>
      <c r="AG61" s="391"/>
      <c r="AH61" s="391"/>
      <c r="AI61" s="391"/>
      <c r="AJ61" s="392"/>
      <c r="AK61" s="127"/>
      <c r="AO61" s="83">
        <v>0.75</v>
      </c>
      <c r="AP61" s="84" t="s">
        <v>25</v>
      </c>
    </row>
    <row r="62" spans="1:42" ht="16.5" customHeight="1">
      <c r="A62" s="320"/>
      <c r="B62" s="384"/>
      <c r="C62" s="386"/>
      <c r="D62" s="386"/>
      <c r="E62" s="386"/>
      <c r="F62" s="386"/>
      <c r="G62" s="386"/>
      <c r="H62" s="386"/>
      <c r="I62" s="386"/>
      <c r="J62" s="386"/>
      <c r="K62" s="319"/>
      <c r="L62" s="319"/>
      <c r="M62" s="319"/>
      <c r="N62" s="319"/>
      <c r="O62" s="319"/>
      <c r="P62" s="319"/>
      <c r="Q62" s="319"/>
      <c r="R62" s="319"/>
      <c r="S62" s="319"/>
      <c r="T62" s="319" t="s">
        <v>50</v>
      </c>
      <c r="U62" s="319"/>
      <c r="V62" s="319"/>
      <c r="W62" s="319"/>
      <c r="X62" s="319"/>
      <c r="Y62" s="319"/>
      <c r="Z62" s="319" t="s">
        <v>51</v>
      </c>
      <c r="AA62" s="319"/>
      <c r="AB62" s="319"/>
      <c r="AC62" s="319"/>
      <c r="AD62" s="319"/>
      <c r="AE62" s="319"/>
      <c r="AF62" s="408" t="s">
        <v>52</v>
      </c>
      <c r="AG62" s="408"/>
      <c r="AH62" s="408"/>
      <c r="AI62" s="408"/>
      <c r="AJ62" s="408"/>
      <c r="AK62" s="127"/>
      <c r="AO62" s="83">
        <v>0.8</v>
      </c>
      <c r="AP62" s="84" t="s">
        <v>25</v>
      </c>
    </row>
    <row r="63" spans="1:42" ht="16.5" customHeight="1">
      <c r="A63" s="383"/>
      <c r="B63" s="385"/>
      <c r="C63" s="387"/>
      <c r="D63" s="387"/>
      <c r="E63" s="387"/>
      <c r="F63" s="387"/>
      <c r="G63" s="387"/>
      <c r="H63" s="387"/>
      <c r="I63" s="387"/>
      <c r="J63" s="387"/>
      <c r="K63" s="389"/>
      <c r="L63" s="389"/>
      <c r="M63" s="389"/>
      <c r="N63" s="389"/>
      <c r="O63" s="389"/>
      <c r="P63" s="389"/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409"/>
      <c r="AG63" s="409"/>
      <c r="AH63" s="409"/>
      <c r="AI63" s="409"/>
      <c r="AJ63" s="409"/>
      <c r="AK63" s="211"/>
      <c r="AO63" s="83">
        <v>0.85</v>
      </c>
      <c r="AP63" s="84" t="s">
        <v>25</v>
      </c>
    </row>
    <row r="64" spans="1:42" ht="17.25" customHeight="1">
      <c r="A64" s="212">
        <v>1</v>
      </c>
      <c r="B64" s="213"/>
      <c r="C64" s="410">
        <v>0</v>
      </c>
      <c r="D64" s="411"/>
      <c r="E64" s="412"/>
      <c r="F64" s="413"/>
      <c r="G64" s="414"/>
      <c r="H64" s="414"/>
      <c r="I64" s="415"/>
      <c r="J64" s="214"/>
      <c r="K64" s="416" t="s">
        <v>53</v>
      </c>
      <c r="L64" s="417"/>
      <c r="M64" s="417"/>
      <c r="N64" s="417"/>
      <c r="O64" s="417"/>
      <c r="P64" s="417"/>
      <c r="Q64" s="417"/>
      <c r="R64" s="417"/>
      <c r="S64" s="418"/>
      <c r="T64" s="419"/>
      <c r="U64" s="420"/>
      <c r="V64" s="420"/>
      <c r="W64" s="420"/>
      <c r="X64" s="420"/>
      <c r="Y64" s="421"/>
      <c r="Z64" s="422"/>
      <c r="AA64" s="423"/>
      <c r="AB64" s="423"/>
      <c r="AC64" s="423"/>
      <c r="AD64" s="423"/>
      <c r="AE64" s="424"/>
      <c r="AF64" s="425"/>
      <c r="AG64" s="426"/>
      <c r="AH64" s="426"/>
      <c r="AI64" s="426"/>
      <c r="AJ64" s="426"/>
      <c r="AK64" s="427"/>
      <c r="AO64" s="83">
        <v>0.9</v>
      </c>
      <c r="AP64" s="84" t="s">
        <v>25</v>
      </c>
    </row>
    <row r="65" spans="1:49" ht="16.5" customHeight="1">
      <c r="A65" s="215">
        <v>2</v>
      </c>
      <c r="B65" s="216"/>
      <c r="C65" s="396">
        <v>0</v>
      </c>
      <c r="D65" s="397"/>
      <c r="E65" s="398"/>
      <c r="F65" s="399"/>
      <c r="G65" s="400"/>
      <c r="H65" s="400"/>
      <c r="I65" s="401"/>
      <c r="J65" s="217"/>
      <c r="K65" s="402" t="s">
        <v>54</v>
      </c>
      <c r="L65" s="403"/>
      <c r="M65" s="403"/>
      <c r="N65" s="403"/>
      <c r="O65" s="403"/>
      <c r="P65" s="403"/>
      <c r="Q65" s="403"/>
      <c r="R65" s="403"/>
      <c r="S65" s="404"/>
      <c r="T65" s="393"/>
      <c r="U65" s="394"/>
      <c r="V65" s="394"/>
      <c r="W65" s="394"/>
      <c r="X65" s="394"/>
      <c r="Y65" s="395"/>
      <c r="Z65" s="405">
        <v>3</v>
      </c>
      <c r="AA65" s="406"/>
      <c r="AB65" s="406"/>
      <c r="AC65" s="406"/>
      <c r="AD65" s="406"/>
      <c r="AE65" s="407"/>
      <c r="AF65" s="393">
        <f>T65+Z65</f>
        <v>3</v>
      </c>
      <c r="AG65" s="394"/>
      <c r="AH65" s="394"/>
      <c r="AI65" s="394"/>
      <c r="AJ65" s="394"/>
      <c r="AK65" s="395"/>
      <c r="AO65" s="83">
        <v>0.95</v>
      </c>
      <c r="AP65" s="84" t="s">
        <v>25</v>
      </c>
    </row>
    <row r="66" spans="1:49" ht="16.5" customHeight="1">
      <c r="A66" s="215">
        <v>3</v>
      </c>
      <c r="B66" s="216"/>
      <c r="C66" s="396">
        <v>0</v>
      </c>
      <c r="D66" s="397"/>
      <c r="E66" s="398"/>
      <c r="F66" s="429"/>
      <c r="G66" s="430"/>
      <c r="H66" s="430"/>
      <c r="I66" s="431"/>
      <c r="J66" s="217"/>
      <c r="K66" s="402" t="s">
        <v>55</v>
      </c>
      <c r="L66" s="403"/>
      <c r="M66" s="403"/>
      <c r="N66" s="403"/>
      <c r="O66" s="403"/>
      <c r="P66" s="403"/>
      <c r="Q66" s="403"/>
      <c r="R66" s="403"/>
      <c r="S66" s="404"/>
      <c r="T66" s="393"/>
      <c r="U66" s="394"/>
      <c r="V66" s="394"/>
      <c r="W66" s="394"/>
      <c r="X66" s="394"/>
      <c r="Y66" s="395"/>
      <c r="Z66" s="405">
        <v>1</v>
      </c>
      <c r="AA66" s="406"/>
      <c r="AB66" s="406"/>
      <c r="AC66" s="406"/>
      <c r="AD66" s="406"/>
      <c r="AE66" s="407"/>
      <c r="AF66" s="393">
        <f t="shared" ref="AF66:AF81" si="53">T66+Z66</f>
        <v>1</v>
      </c>
      <c r="AG66" s="394"/>
      <c r="AH66" s="394"/>
      <c r="AI66" s="394"/>
      <c r="AJ66" s="394"/>
      <c r="AK66" s="395"/>
      <c r="AO66" s="218">
        <v>1</v>
      </c>
      <c r="AP66" s="219" t="s">
        <v>25</v>
      </c>
      <c r="AQ66" s="220"/>
      <c r="AR66" s="220"/>
      <c r="AS66" s="220"/>
      <c r="AT66" s="220"/>
      <c r="AU66" s="220"/>
      <c r="AV66" s="220"/>
      <c r="AW66" s="220"/>
    </row>
    <row r="67" spans="1:49" ht="16.5" customHeight="1">
      <c r="A67" s="215">
        <v>4</v>
      </c>
      <c r="B67" s="216"/>
      <c r="C67" s="396">
        <v>0</v>
      </c>
      <c r="D67" s="397"/>
      <c r="E67" s="398"/>
      <c r="F67" s="429"/>
      <c r="G67" s="430"/>
      <c r="H67" s="430"/>
      <c r="I67" s="431"/>
      <c r="J67" s="217"/>
      <c r="K67" s="402" t="s">
        <v>56</v>
      </c>
      <c r="L67" s="403"/>
      <c r="M67" s="403"/>
      <c r="N67" s="403"/>
      <c r="O67" s="403"/>
      <c r="P67" s="403"/>
      <c r="Q67" s="403"/>
      <c r="R67" s="403"/>
      <c r="S67" s="404"/>
      <c r="T67" s="432"/>
      <c r="U67" s="433"/>
      <c r="V67" s="433"/>
      <c r="W67" s="433"/>
      <c r="X67" s="433"/>
      <c r="Y67" s="434"/>
      <c r="Z67" s="405"/>
      <c r="AA67" s="406"/>
      <c r="AB67" s="406"/>
      <c r="AC67" s="406"/>
      <c r="AD67" s="406"/>
      <c r="AE67" s="407"/>
      <c r="AF67" s="432">
        <f>T67+Z67</f>
        <v>0</v>
      </c>
      <c r="AG67" s="433"/>
      <c r="AH67" s="433"/>
      <c r="AI67" s="433"/>
      <c r="AJ67" s="433"/>
      <c r="AK67" s="434"/>
      <c r="AN67" s="221"/>
      <c r="AO67" s="221"/>
      <c r="AP67" s="221"/>
      <c r="AQ67" s="222"/>
      <c r="AR67" s="222"/>
      <c r="AS67" s="222"/>
      <c r="AT67" s="222"/>
      <c r="AU67" s="222"/>
      <c r="AV67" s="222"/>
      <c r="AW67" s="220"/>
    </row>
    <row r="68" spans="1:49" ht="16.5" customHeight="1">
      <c r="A68" s="215">
        <v>5</v>
      </c>
      <c r="B68" s="216"/>
      <c r="C68" s="396">
        <v>0</v>
      </c>
      <c r="D68" s="397"/>
      <c r="E68" s="398"/>
      <c r="F68" s="429"/>
      <c r="G68" s="430"/>
      <c r="H68" s="430"/>
      <c r="I68" s="431"/>
      <c r="J68" s="217"/>
      <c r="K68" s="402" t="s">
        <v>57</v>
      </c>
      <c r="L68" s="403"/>
      <c r="M68" s="403"/>
      <c r="N68" s="403"/>
      <c r="O68" s="403"/>
      <c r="P68" s="403"/>
      <c r="Q68" s="403"/>
      <c r="R68" s="403"/>
      <c r="S68" s="404"/>
      <c r="T68" s="432"/>
      <c r="U68" s="433"/>
      <c r="V68" s="433"/>
      <c r="W68" s="433"/>
      <c r="X68" s="433"/>
      <c r="Y68" s="434"/>
      <c r="Z68" s="405"/>
      <c r="AA68" s="406"/>
      <c r="AB68" s="406"/>
      <c r="AC68" s="406"/>
      <c r="AD68" s="406"/>
      <c r="AE68" s="407"/>
      <c r="AF68" s="432">
        <f t="shared" si="53"/>
        <v>0</v>
      </c>
      <c r="AG68" s="433"/>
      <c r="AH68" s="433"/>
      <c r="AI68" s="433"/>
      <c r="AJ68" s="433"/>
      <c r="AK68" s="434"/>
      <c r="AL68" s="223"/>
      <c r="AN68" s="221"/>
      <c r="AO68" s="221"/>
      <c r="AP68" s="221"/>
      <c r="AQ68" s="222"/>
      <c r="AR68" s="222"/>
      <c r="AS68" s="222"/>
      <c r="AT68" s="222"/>
      <c r="AU68" s="222"/>
      <c r="AV68" s="222"/>
      <c r="AW68" s="220"/>
    </row>
    <row r="69" spans="1:49" ht="16.5" customHeight="1">
      <c r="A69" s="215">
        <v>6</v>
      </c>
      <c r="B69" s="224"/>
      <c r="C69" s="396">
        <v>0</v>
      </c>
      <c r="D69" s="397"/>
      <c r="E69" s="398"/>
      <c r="F69" s="429"/>
      <c r="G69" s="430"/>
      <c r="H69" s="430"/>
      <c r="I69" s="431"/>
      <c r="J69" s="217"/>
      <c r="K69" s="402" t="s">
        <v>58</v>
      </c>
      <c r="L69" s="403"/>
      <c r="M69" s="403"/>
      <c r="N69" s="403"/>
      <c r="O69" s="403"/>
      <c r="P69" s="403"/>
      <c r="Q69" s="403"/>
      <c r="R69" s="403"/>
      <c r="S69" s="404"/>
      <c r="T69" s="432"/>
      <c r="U69" s="433"/>
      <c r="V69" s="433"/>
      <c r="W69" s="433"/>
      <c r="X69" s="433"/>
      <c r="Y69" s="434"/>
      <c r="Z69" s="405">
        <v>1</v>
      </c>
      <c r="AA69" s="406"/>
      <c r="AB69" s="406"/>
      <c r="AC69" s="406"/>
      <c r="AD69" s="406"/>
      <c r="AE69" s="407"/>
      <c r="AF69" s="432">
        <f>T69+Z69</f>
        <v>1</v>
      </c>
      <c r="AG69" s="433"/>
      <c r="AH69" s="433"/>
      <c r="AI69" s="433"/>
      <c r="AJ69" s="433"/>
      <c r="AK69" s="434"/>
      <c r="AL69" s="223"/>
      <c r="AN69" s="221"/>
      <c r="AO69" s="221"/>
      <c r="AP69" s="221"/>
      <c r="AQ69" s="428"/>
      <c r="AR69" s="428"/>
      <c r="AS69" s="428"/>
      <c r="AT69" s="428"/>
      <c r="AU69" s="428"/>
      <c r="AV69" s="428"/>
      <c r="AW69" s="220"/>
    </row>
    <row r="70" spans="1:49" ht="16.5" customHeight="1">
      <c r="A70" s="215">
        <v>7</v>
      </c>
      <c r="B70" s="224"/>
      <c r="C70" s="396">
        <v>0</v>
      </c>
      <c r="D70" s="397"/>
      <c r="E70" s="398"/>
      <c r="F70" s="429"/>
      <c r="G70" s="430"/>
      <c r="H70" s="430"/>
      <c r="I70" s="431"/>
      <c r="J70" s="217"/>
      <c r="K70" s="402" t="s">
        <v>59</v>
      </c>
      <c r="L70" s="403"/>
      <c r="M70" s="403"/>
      <c r="N70" s="403"/>
      <c r="O70" s="403"/>
      <c r="P70" s="403"/>
      <c r="Q70" s="403"/>
      <c r="R70" s="403"/>
      <c r="S70" s="404"/>
      <c r="T70" s="432"/>
      <c r="U70" s="433"/>
      <c r="V70" s="433"/>
      <c r="W70" s="433"/>
      <c r="X70" s="433"/>
      <c r="Y70" s="434"/>
      <c r="Z70" s="405"/>
      <c r="AA70" s="406"/>
      <c r="AB70" s="406"/>
      <c r="AC70" s="406"/>
      <c r="AD70" s="406"/>
      <c r="AE70" s="407"/>
      <c r="AF70" s="432">
        <f t="shared" si="53"/>
        <v>0</v>
      </c>
      <c r="AG70" s="433"/>
      <c r="AH70" s="433"/>
      <c r="AI70" s="433"/>
      <c r="AJ70" s="433"/>
      <c r="AK70" s="434"/>
      <c r="AL70" s="223"/>
      <c r="AN70" s="221"/>
      <c r="AO70" s="221"/>
      <c r="AP70" s="221"/>
      <c r="AQ70" s="428"/>
      <c r="AR70" s="428"/>
      <c r="AS70" s="428"/>
      <c r="AT70" s="428"/>
      <c r="AU70" s="428"/>
      <c r="AV70" s="428"/>
      <c r="AW70" s="220"/>
    </row>
    <row r="71" spans="1:49" ht="16.5" customHeight="1">
      <c r="A71" s="215">
        <v>8</v>
      </c>
      <c r="B71" s="224"/>
      <c r="C71" s="396">
        <v>0</v>
      </c>
      <c r="D71" s="397"/>
      <c r="E71" s="398"/>
      <c r="F71" s="429"/>
      <c r="G71" s="430"/>
      <c r="H71" s="430"/>
      <c r="I71" s="431"/>
      <c r="J71" s="217"/>
      <c r="K71" s="402" t="s">
        <v>60</v>
      </c>
      <c r="L71" s="403"/>
      <c r="M71" s="403"/>
      <c r="N71" s="403"/>
      <c r="O71" s="403"/>
      <c r="P71" s="403"/>
      <c r="Q71" s="403"/>
      <c r="R71" s="403"/>
      <c r="S71" s="404"/>
      <c r="T71" s="432"/>
      <c r="U71" s="433"/>
      <c r="V71" s="433"/>
      <c r="W71" s="433"/>
      <c r="X71" s="433"/>
      <c r="Y71" s="434"/>
      <c r="Z71" s="405">
        <v>1</v>
      </c>
      <c r="AA71" s="406"/>
      <c r="AB71" s="406"/>
      <c r="AC71" s="406"/>
      <c r="AD71" s="406"/>
      <c r="AE71" s="407"/>
      <c r="AF71" s="432">
        <v>0</v>
      </c>
      <c r="AG71" s="433"/>
      <c r="AH71" s="433"/>
      <c r="AI71" s="433"/>
      <c r="AJ71" s="433"/>
      <c r="AK71" s="434"/>
      <c r="AL71" s="223"/>
      <c r="AN71" s="221"/>
      <c r="AO71" s="221"/>
      <c r="AP71" s="221"/>
      <c r="AQ71" s="428"/>
      <c r="AR71" s="428"/>
      <c r="AS71" s="428"/>
      <c r="AT71" s="428"/>
      <c r="AU71" s="428"/>
      <c r="AV71" s="428"/>
      <c r="AW71" s="220"/>
    </row>
    <row r="72" spans="1:49" ht="24" customHeight="1">
      <c r="A72" s="215">
        <v>9</v>
      </c>
      <c r="B72" s="224"/>
      <c r="C72" s="396">
        <v>0</v>
      </c>
      <c r="D72" s="397"/>
      <c r="E72" s="398"/>
      <c r="F72" s="429"/>
      <c r="G72" s="430"/>
      <c r="H72" s="430"/>
      <c r="I72" s="431"/>
      <c r="J72" s="217"/>
      <c r="K72" s="402" t="s">
        <v>61</v>
      </c>
      <c r="L72" s="403"/>
      <c r="M72" s="403"/>
      <c r="N72" s="403"/>
      <c r="O72" s="403"/>
      <c r="P72" s="403"/>
      <c r="Q72" s="403"/>
      <c r="R72" s="403"/>
      <c r="S72" s="404"/>
      <c r="T72" s="432"/>
      <c r="U72" s="433"/>
      <c r="V72" s="433"/>
      <c r="W72" s="433"/>
      <c r="X72" s="433"/>
      <c r="Y72" s="434"/>
      <c r="Z72" s="405"/>
      <c r="AA72" s="406"/>
      <c r="AB72" s="406"/>
      <c r="AC72" s="406"/>
      <c r="AD72" s="406"/>
      <c r="AE72" s="407"/>
      <c r="AF72" s="432">
        <f t="shared" si="53"/>
        <v>0</v>
      </c>
      <c r="AG72" s="433"/>
      <c r="AH72" s="433"/>
      <c r="AI72" s="433"/>
      <c r="AJ72" s="433"/>
      <c r="AK72" s="434"/>
      <c r="AL72" s="223"/>
      <c r="AN72" s="221"/>
      <c r="AO72" s="221"/>
      <c r="AP72" s="221"/>
      <c r="AQ72" s="428"/>
      <c r="AR72" s="428"/>
      <c r="AS72" s="428"/>
      <c r="AT72" s="428"/>
      <c r="AU72" s="428"/>
      <c r="AV72" s="428"/>
      <c r="AW72" s="220"/>
    </row>
    <row r="73" spans="1:49">
      <c r="A73" s="215">
        <v>10</v>
      </c>
      <c r="B73" s="224"/>
      <c r="C73" s="396">
        <v>0</v>
      </c>
      <c r="D73" s="397"/>
      <c r="E73" s="398"/>
      <c r="F73" s="429"/>
      <c r="G73" s="430"/>
      <c r="H73" s="430"/>
      <c r="I73" s="431"/>
      <c r="J73" s="217"/>
      <c r="K73" s="402" t="s">
        <v>62</v>
      </c>
      <c r="L73" s="403"/>
      <c r="M73" s="403"/>
      <c r="N73" s="403"/>
      <c r="O73" s="403"/>
      <c r="P73" s="403"/>
      <c r="Q73" s="403"/>
      <c r="R73" s="403"/>
      <c r="S73" s="404"/>
      <c r="T73" s="432"/>
      <c r="U73" s="433"/>
      <c r="V73" s="433"/>
      <c r="W73" s="433"/>
      <c r="X73" s="433"/>
      <c r="Y73" s="434"/>
      <c r="Z73" s="405"/>
      <c r="AA73" s="406"/>
      <c r="AB73" s="406"/>
      <c r="AC73" s="406"/>
      <c r="AD73" s="406"/>
      <c r="AE73" s="407"/>
      <c r="AF73" s="432">
        <f t="shared" si="53"/>
        <v>0</v>
      </c>
      <c r="AG73" s="433"/>
      <c r="AH73" s="433"/>
      <c r="AI73" s="433"/>
      <c r="AJ73" s="433"/>
      <c r="AK73" s="434"/>
      <c r="AL73" s="223"/>
      <c r="AN73" s="221"/>
      <c r="AO73" s="221"/>
      <c r="AP73" s="221"/>
      <c r="AQ73" s="428"/>
      <c r="AR73" s="428"/>
      <c r="AS73" s="428"/>
      <c r="AT73" s="428"/>
      <c r="AU73" s="428"/>
      <c r="AV73" s="428"/>
      <c r="AW73" s="220"/>
    </row>
    <row r="74" spans="1:49" ht="16.5" customHeight="1">
      <c r="A74" s="215">
        <v>11</v>
      </c>
      <c r="B74" s="224"/>
      <c r="C74" s="396">
        <v>0</v>
      </c>
      <c r="D74" s="397"/>
      <c r="E74" s="398"/>
      <c r="F74" s="429"/>
      <c r="G74" s="430"/>
      <c r="H74" s="430"/>
      <c r="I74" s="431"/>
      <c r="J74" s="217"/>
      <c r="K74" s="402" t="s">
        <v>63</v>
      </c>
      <c r="L74" s="403"/>
      <c r="M74" s="403"/>
      <c r="N74" s="403"/>
      <c r="O74" s="403"/>
      <c r="P74" s="403"/>
      <c r="Q74" s="403"/>
      <c r="R74" s="403"/>
      <c r="S74" s="404"/>
      <c r="T74" s="393"/>
      <c r="U74" s="394"/>
      <c r="V74" s="394"/>
      <c r="W74" s="394"/>
      <c r="X74" s="394"/>
      <c r="Y74" s="395"/>
      <c r="Z74" s="435"/>
      <c r="AA74" s="436"/>
      <c r="AB74" s="436"/>
      <c r="AC74" s="436"/>
      <c r="AD74" s="436"/>
      <c r="AE74" s="437"/>
      <c r="AF74" s="393">
        <f>T74+Z74</f>
        <v>0</v>
      </c>
      <c r="AG74" s="394"/>
      <c r="AH74" s="394"/>
      <c r="AI74" s="394"/>
      <c r="AJ74" s="394"/>
      <c r="AK74" s="395"/>
      <c r="AL74" s="223"/>
      <c r="AN74" s="221"/>
      <c r="AO74" s="221"/>
      <c r="AP74" s="221"/>
      <c r="AQ74" s="428"/>
      <c r="AR74" s="428"/>
      <c r="AS74" s="428"/>
      <c r="AT74" s="428"/>
      <c r="AU74" s="428"/>
      <c r="AV74" s="428"/>
      <c r="AW74" s="220"/>
    </row>
    <row r="75" spans="1:49" ht="16.5" customHeight="1">
      <c r="A75" s="215">
        <v>12</v>
      </c>
      <c r="B75" s="224"/>
      <c r="C75" s="396">
        <v>0</v>
      </c>
      <c r="D75" s="397"/>
      <c r="E75" s="398"/>
      <c r="F75" s="429"/>
      <c r="G75" s="430"/>
      <c r="H75" s="430"/>
      <c r="I75" s="431"/>
      <c r="J75" s="217"/>
      <c r="K75" s="402" t="s">
        <v>64</v>
      </c>
      <c r="L75" s="403"/>
      <c r="M75" s="403"/>
      <c r="N75" s="403"/>
      <c r="O75" s="403"/>
      <c r="P75" s="403"/>
      <c r="Q75" s="403"/>
      <c r="R75" s="403"/>
      <c r="S75" s="404"/>
      <c r="T75" s="432"/>
      <c r="U75" s="433"/>
      <c r="V75" s="433"/>
      <c r="W75" s="433"/>
      <c r="X75" s="433"/>
      <c r="Y75" s="434"/>
      <c r="Z75" s="405"/>
      <c r="AA75" s="406"/>
      <c r="AB75" s="406"/>
      <c r="AC75" s="406"/>
      <c r="AD75" s="406"/>
      <c r="AE75" s="407"/>
      <c r="AF75" s="432">
        <f t="shared" si="53"/>
        <v>0</v>
      </c>
      <c r="AG75" s="433"/>
      <c r="AH75" s="433"/>
      <c r="AI75" s="433"/>
      <c r="AJ75" s="433"/>
      <c r="AK75" s="434"/>
      <c r="AL75" s="223"/>
      <c r="AN75" s="221"/>
      <c r="AO75" s="221"/>
      <c r="AP75" s="221"/>
      <c r="AQ75" s="428"/>
      <c r="AR75" s="428"/>
      <c r="AS75" s="428"/>
      <c r="AT75" s="428"/>
      <c r="AU75" s="428"/>
      <c r="AV75" s="428"/>
      <c r="AW75" s="220"/>
    </row>
    <row r="76" spans="1:49" ht="16.5" customHeight="1">
      <c r="A76" s="215">
        <v>13</v>
      </c>
      <c r="B76" s="225"/>
      <c r="C76" s="396">
        <v>0</v>
      </c>
      <c r="D76" s="397"/>
      <c r="E76" s="398"/>
      <c r="F76" s="429"/>
      <c r="G76" s="430"/>
      <c r="H76" s="430"/>
      <c r="I76" s="431"/>
      <c r="J76" s="217"/>
      <c r="K76" s="402" t="s">
        <v>65</v>
      </c>
      <c r="L76" s="403"/>
      <c r="M76" s="403"/>
      <c r="N76" s="403"/>
      <c r="O76" s="403"/>
      <c r="P76" s="403"/>
      <c r="Q76" s="403"/>
      <c r="R76" s="403"/>
      <c r="S76" s="404"/>
      <c r="T76" s="432"/>
      <c r="U76" s="433"/>
      <c r="V76" s="433"/>
      <c r="W76" s="433"/>
      <c r="X76" s="433"/>
      <c r="Y76" s="434"/>
      <c r="Z76" s="435"/>
      <c r="AA76" s="436"/>
      <c r="AB76" s="436"/>
      <c r="AC76" s="436"/>
      <c r="AD76" s="436"/>
      <c r="AE76" s="437"/>
      <c r="AF76" s="432">
        <f t="shared" si="53"/>
        <v>0</v>
      </c>
      <c r="AG76" s="433"/>
      <c r="AH76" s="433"/>
      <c r="AI76" s="433"/>
      <c r="AJ76" s="433"/>
      <c r="AK76" s="434"/>
      <c r="AL76" s="223"/>
      <c r="AN76" s="221"/>
      <c r="AO76" s="221"/>
      <c r="AP76" s="221"/>
      <c r="AQ76" s="428"/>
      <c r="AR76" s="428"/>
      <c r="AS76" s="428"/>
      <c r="AT76" s="428"/>
      <c r="AU76" s="428"/>
      <c r="AV76" s="428"/>
      <c r="AW76" s="220"/>
    </row>
    <row r="77" spans="1:49" ht="27.75" customHeight="1">
      <c r="A77" s="215">
        <v>14</v>
      </c>
      <c r="B77" s="225"/>
      <c r="C77" s="396">
        <v>0</v>
      </c>
      <c r="D77" s="397"/>
      <c r="E77" s="398"/>
      <c r="F77" s="429"/>
      <c r="G77" s="430"/>
      <c r="H77" s="430"/>
      <c r="I77" s="431"/>
      <c r="J77" s="217"/>
      <c r="K77" s="402" t="s">
        <v>66</v>
      </c>
      <c r="L77" s="403"/>
      <c r="M77" s="403"/>
      <c r="N77" s="403"/>
      <c r="O77" s="403"/>
      <c r="P77" s="403"/>
      <c r="Q77" s="403"/>
      <c r="R77" s="403"/>
      <c r="S77" s="404"/>
      <c r="T77" s="393"/>
      <c r="U77" s="394"/>
      <c r="V77" s="394"/>
      <c r="W77" s="394"/>
      <c r="X77" s="394"/>
      <c r="Y77" s="395"/>
      <c r="Z77" s="435"/>
      <c r="AA77" s="436"/>
      <c r="AB77" s="436"/>
      <c r="AC77" s="436"/>
      <c r="AD77" s="436"/>
      <c r="AE77" s="437"/>
      <c r="AF77" s="393">
        <f t="shared" si="53"/>
        <v>0</v>
      </c>
      <c r="AG77" s="394"/>
      <c r="AH77" s="394"/>
      <c r="AI77" s="394"/>
      <c r="AJ77" s="394"/>
      <c r="AK77" s="395"/>
      <c r="AL77" s="223"/>
      <c r="AN77" s="221"/>
      <c r="AO77" s="221"/>
      <c r="AP77" s="221"/>
      <c r="AQ77" s="428"/>
      <c r="AR77" s="428"/>
      <c r="AS77" s="428"/>
      <c r="AT77" s="428"/>
      <c r="AU77" s="428"/>
      <c r="AV77" s="428"/>
      <c r="AW77" s="220"/>
    </row>
    <row r="78" spans="1:49" ht="16.5" customHeight="1">
      <c r="A78" s="215"/>
      <c r="B78" s="225"/>
      <c r="C78" s="438"/>
      <c r="D78" s="439"/>
      <c r="E78" s="440"/>
      <c r="F78" s="429"/>
      <c r="G78" s="430"/>
      <c r="H78" s="430"/>
      <c r="I78" s="431"/>
      <c r="J78" s="226"/>
      <c r="K78" s="402" t="s">
        <v>67</v>
      </c>
      <c r="L78" s="403"/>
      <c r="M78" s="403"/>
      <c r="N78" s="403"/>
      <c r="O78" s="403"/>
      <c r="P78" s="403"/>
      <c r="Q78" s="403"/>
      <c r="R78" s="403"/>
      <c r="S78" s="404"/>
      <c r="T78" s="432"/>
      <c r="U78" s="433"/>
      <c r="V78" s="433"/>
      <c r="W78" s="433"/>
      <c r="X78" s="433"/>
      <c r="Y78" s="434"/>
      <c r="Z78" s="405"/>
      <c r="AA78" s="406"/>
      <c r="AB78" s="406"/>
      <c r="AC78" s="406"/>
      <c r="AD78" s="406"/>
      <c r="AE78" s="407"/>
      <c r="AF78" s="432">
        <f t="shared" si="53"/>
        <v>0</v>
      </c>
      <c r="AG78" s="433"/>
      <c r="AH78" s="433"/>
      <c r="AI78" s="433"/>
      <c r="AJ78" s="433"/>
      <c r="AK78" s="434"/>
      <c r="AL78" s="223"/>
      <c r="AN78" s="221"/>
      <c r="AO78" s="221"/>
      <c r="AP78" s="221"/>
      <c r="AQ78" s="428"/>
      <c r="AR78" s="428"/>
      <c r="AS78" s="428"/>
      <c r="AT78" s="428"/>
      <c r="AU78" s="428"/>
      <c r="AV78" s="428"/>
      <c r="AW78" s="220"/>
    </row>
    <row r="79" spans="1:49" ht="16.5" customHeight="1">
      <c r="A79" s="215"/>
      <c r="B79" s="129"/>
      <c r="C79" s="438"/>
      <c r="D79" s="439"/>
      <c r="E79" s="440"/>
      <c r="F79" s="429"/>
      <c r="G79" s="430"/>
      <c r="H79" s="430"/>
      <c r="I79" s="431"/>
      <c r="J79" s="226"/>
      <c r="K79" s="402" t="s">
        <v>68</v>
      </c>
      <c r="L79" s="403"/>
      <c r="M79" s="403"/>
      <c r="N79" s="403"/>
      <c r="O79" s="403"/>
      <c r="P79" s="403"/>
      <c r="Q79" s="403"/>
      <c r="R79" s="403"/>
      <c r="S79" s="404"/>
      <c r="T79" s="393"/>
      <c r="U79" s="394"/>
      <c r="V79" s="394"/>
      <c r="W79" s="394"/>
      <c r="X79" s="394"/>
      <c r="Y79" s="395"/>
      <c r="Z79" s="405"/>
      <c r="AA79" s="406"/>
      <c r="AB79" s="406"/>
      <c r="AC79" s="406"/>
      <c r="AD79" s="406"/>
      <c r="AE79" s="407"/>
      <c r="AF79" s="393">
        <f t="shared" si="53"/>
        <v>0</v>
      </c>
      <c r="AG79" s="394"/>
      <c r="AH79" s="394"/>
      <c r="AI79" s="394"/>
      <c r="AJ79" s="394"/>
      <c r="AK79" s="395"/>
      <c r="AL79" s="223"/>
      <c r="AN79" s="221"/>
      <c r="AO79" s="221"/>
      <c r="AP79" s="221"/>
      <c r="AQ79" s="428"/>
      <c r="AR79" s="428"/>
      <c r="AS79" s="428"/>
      <c r="AT79" s="428"/>
      <c r="AU79" s="428"/>
      <c r="AV79" s="428"/>
      <c r="AW79" s="220"/>
    </row>
    <row r="80" spans="1:49" ht="16.5" customHeight="1">
      <c r="A80" s="215"/>
      <c r="B80" s="129"/>
      <c r="C80" s="227"/>
      <c r="D80" s="228"/>
      <c r="E80" s="229"/>
      <c r="F80" s="429"/>
      <c r="G80" s="430"/>
      <c r="H80" s="430"/>
      <c r="I80" s="431"/>
      <c r="J80" s="226"/>
      <c r="K80" s="402" t="s">
        <v>69</v>
      </c>
      <c r="L80" s="403"/>
      <c r="M80" s="403"/>
      <c r="N80" s="403"/>
      <c r="O80" s="403"/>
      <c r="P80" s="403"/>
      <c r="Q80" s="403"/>
      <c r="R80" s="403"/>
      <c r="S80" s="404"/>
      <c r="T80" s="393"/>
      <c r="U80" s="394"/>
      <c r="V80" s="394"/>
      <c r="W80" s="394"/>
      <c r="X80" s="394"/>
      <c r="Y80" s="395"/>
      <c r="Z80" s="435"/>
      <c r="AA80" s="436"/>
      <c r="AB80" s="436"/>
      <c r="AC80" s="436"/>
      <c r="AD80" s="436"/>
      <c r="AE80" s="437"/>
      <c r="AF80" s="393">
        <f t="shared" si="53"/>
        <v>0</v>
      </c>
      <c r="AG80" s="394"/>
      <c r="AH80" s="394"/>
      <c r="AI80" s="394"/>
      <c r="AJ80" s="394"/>
      <c r="AK80" s="395"/>
      <c r="AL80" s="223"/>
      <c r="AN80" s="221"/>
      <c r="AO80" s="221"/>
      <c r="AP80" s="221"/>
      <c r="AQ80" s="428"/>
      <c r="AR80" s="428"/>
      <c r="AS80" s="428"/>
      <c r="AT80" s="428"/>
      <c r="AU80" s="428"/>
      <c r="AV80" s="428"/>
      <c r="AW80" s="220"/>
    </row>
    <row r="81" spans="1:49" ht="16.5" customHeight="1">
      <c r="A81" s="230"/>
      <c r="B81" s="231"/>
      <c r="C81" s="232"/>
      <c r="D81" s="233"/>
      <c r="E81" s="234"/>
      <c r="F81" s="464"/>
      <c r="G81" s="465"/>
      <c r="H81" s="465"/>
      <c r="I81" s="466"/>
      <c r="J81" s="235"/>
      <c r="K81" s="467" t="s">
        <v>70</v>
      </c>
      <c r="L81" s="468"/>
      <c r="M81" s="468"/>
      <c r="N81" s="468"/>
      <c r="O81" s="468"/>
      <c r="P81" s="468"/>
      <c r="Q81" s="468"/>
      <c r="R81" s="468"/>
      <c r="S81" s="469"/>
      <c r="T81" s="470"/>
      <c r="U81" s="471"/>
      <c r="V81" s="471"/>
      <c r="W81" s="471"/>
      <c r="X81" s="471"/>
      <c r="Y81" s="472"/>
      <c r="Z81" s="473"/>
      <c r="AA81" s="474"/>
      <c r="AB81" s="474"/>
      <c r="AC81" s="474"/>
      <c r="AD81" s="474"/>
      <c r="AE81" s="475"/>
      <c r="AF81" s="470">
        <f t="shared" si="53"/>
        <v>0</v>
      </c>
      <c r="AG81" s="471"/>
      <c r="AH81" s="471"/>
      <c r="AI81" s="471"/>
      <c r="AJ81" s="471"/>
      <c r="AK81" s="472"/>
      <c r="AL81" s="223"/>
      <c r="AN81" s="221"/>
      <c r="AO81" s="221"/>
      <c r="AP81" s="221"/>
      <c r="AQ81" s="428"/>
      <c r="AR81" s="428"/>
      <c r="AS81" s="428"/>
      <c r="AT81" s="428"/>
      <c r="AU81" s="428"/>
      <c r="AV81" s="428"/>
      <c r="AW81" s="220"/>
    </row>
    <row r="82" spans="1:49" ht="20.25" customHeight="1">
      <c r="A82" s="236"/>
      <c r="B82" s="237"/>
      <c r="C82" s="238"/>
      <c r="D82" s="446"/>
      <c r="E82" s="447"/>
      <c r="F82" s="448"/>
      <c r="G82" s="449"/>
      <c r="H82" s="449"/>
      <c r="I82" s="450"/>
      <c r="J82" s="239"/>
      <c r="K82" s="451" t="s">
        <v>71</v>
      </c>
      <c r="L82" s="452"/>
      <c r="M82" s="452"/>
      <c r="N82" s="452"/>
      <c r="O82" s="452"/>
      <c r="P82" s="452"/>
      <c r="Q82" s="452"/>
      <c r="R82" s="452"/>
      <c r="S82" s="453"/>
      <c r="T82" s="454">
        <f>SUM(T64:Y81)</f>
        <v>0</v>
      </c>
      <c r="U82" s="455"/>
      <c r="V82" s="455"/>
      <c r="W82" s="455"/>
      <c r="X82" s="455"/>
      <c r="Y82" s="456"/>
      <c r="Z82" s="457">
        <f>SUM(Z64:AE81)</f>
        <v>6</v>
      </c>
      <c r="AA82" s="458"/>
      <c r="AB82" s="458"/>
      <c r="AC82" s="458"/>
      <c r="AD82" s="458"/>
      <c r="AE82" s="459"/>
      <c r="AF82" s="457">
        <f>SUM(AF64:AK81)</f>
        <v>5</v>
      </c>
      <c r="AG82" s="458"/>
      <c r="AH82" s="458"/>
      <c r="AI82" s="458"/>
      <c r="AJ82" s="460"/>
      <c r="AK82" s="240"/>
      <c r="AN82" s="221"/>
      <c r="AO82" s="221"/>
      <c r="AP82" s="221"/>
      <c r="AQ82" s="428"/>
      <c r="AR82" s="428"/>
      <c r="AS82" s="428"/>
      <c r="AT82" s="428"/>
      <c r="AU82" s="428"/>
      <c r="AV82" s="428"/>
      <c r="AW82" s="220"/>
    </row>
    <row r="83" spans="1:49" ht="18.75">
      <c r="A83" s="441" t="s">
        <v>72</v>
      </c>
      <c r="B83" s="441"/>
      <c r="C83" s="441"/>
      <c r="D83" s="441"/>
      <c r="E83" s="441"/>
      <c r="F83" s="441"/>
      <c r="G83" s="441"/>
      <c r="H83" s="441"/>
      <c r="I83" s="441"/>
      <c r="J83" s="441"/>
      <c r="K83" s="241"/>
      <c r="L83" s="242"/>
      <c r="M83" s="243"/>
      <c r="N83" s="243"/>
      <c r="O83" s="243"/>
      <c r="P83" s="243"/>
      <c r="Q83" s="243"/>
      <c r="R83" s="243"/>
      <c r="S83" s="243"/>
      <c r="T83" s="442"/>
      <c r="U83" s="442"/>
      <c r="V83" s="442"/>
      <c r="W83" s="442"/>
      <c r="X83" s="442"/>
      <c r="Y83" s="442"/>
      <c r="Z83" s="442"/>
      <c r="AA83" s="442"/>
      <c r="AB83" s="442"/>
      <c r="AC83" s="442"/>
      <c r="AD83" s="442"/>
      <c r="AE83" s="442"/>
      <c r="AF83" s="442"/>
      <c r="AL83" s="223"/>
      <c r="AN83" s="221"/>
      <c r="AO83" s="221"/>
      <c r="AP83" s="221"/>
      <c r="AQ83" s="222"/>
      <c r="AR83" s="222"/>
      <c r="AS83" s="222"/>
      <c r="AT83" s="222"/>
      <c r="AU83" s="222"/>
      <c r="AV83" s="222"/>
      <c r="AW83" s="220"/>
    </row>
    <row r="84" spans="1:49" ht="19.5">
      <c r="A84" s="246"/>
      <c r="B84" s="246"/>
      <c r="C84" s="247"/>
      <c r="D84" s="246"/>
      <c r="E84" s="248"/>
      <c r="F84" s="249"/>
      <c r="G84" s="250"/>
      <c r="H84" s="250"/>
      <c r="I84" s="250" t="s">
        <v>73</v>
      </c>
      <c r="J84" s="241"/>
      <c r="K84" s="241"/>
      <c r="L84" s="242"/>
      <c r="M84" s="243"/>
      <c r="N84" s="243"/>
      <c r="O84" s="243"/>
      <c r="P84" s="243"/>
      <c r="Q84" s="243"/>
      <c r="R84" s="243"/>
      <c r="S84" s="243"/>
      <c r="T84" s="243"/>
      <c r="U84" s="443" t="s">
        <v>74</v>
      </c>
      <c r="V84" s="443"/>
      <c r="W84" s="443"/>
      <c r="X84" s="443"/>
      <c r="Y84" s="443"/>
      <c r="Z84" s="443"/>
      <c r="AA84" s="443"/>
      <c r="AB84" s="443"/>
      <c r="AC84" s="443"/>
      <c r="AD84" s="443"/>
      <c r="AE84" s="443"/>
      <c r="AF84" s="443"/>
      <c r="AN84" s="221"/>
      <c r="AO84" s="221"/>
      <c r="AP84" s="221"/>
      <c r="AQ84" s="222"/>
      <c r="AR84" s="222"/>
      <c r="AS84" s="222"/>
      <c r="AT84" s="222"/>
      <c r="AU84" s="222"/>
      <c r="AV84" s="222"/>
      <c r="AW84" s="220"/>
    </row>
    <row r="85" spans="1:49">
      <c r="B85" s="251"/>
      <c r="C85" s="251"/>
      <c r="D85" s="251"/>
      <c r="E85" s="251"/>
      <c r="F85" s="251"/>
      <c r="G85" s="252"/>
      <c r="AQ85" s="220"/>
      <c r="AR85" s="220"/>
      <c r="AS85" s="220"/>
      <c r="AT85" s="220"/>
      <c r="AU85" s="220"/>
      <c r="AV85" s="220"/>
      <c r="AW85" s="220"/>
    </row>
    <row r="86" spans="1:49">
      <c r="B86" s="251"/>
      <c r="C86" s="251"/>
      <c r="D86" s="251"/>
      <c r="E86" s="251"/>
      <c r="F86" s="251"/>
      <c r="G86" s="252"/>
      <c r="AQ86" s="220"/>
      <c r="AR86" s="220"/>
      <c r="AS86" s="220"/>
      <c r="AT86" s="220"/>
      <c r="AU86" s="220"/>
      <c r="AV86" s="220"/>
      <c r="AW86" s="220"/>
    </row>
    <row r="87" spans="1:49">
      <c r="B87" s="251"/>
      <c r="C87" s="251"/>
      <c r="D87" s="251"/>
      <c r="E87" s="251"/>
      <c r="F87" s="251"/>
      <c r="G87" s="252"/>
      <c r="AQ87" s="220"/>
      <c r="AR87" s="220"/>
      <c r="AS87" s="220"/>
      <c r="AT87" s="220"/>
      <c r="AU87" s="220"/>
      <c r="AV87" s="220"/>
      <c r="AW87" s="220"/>
    </row>
    <row r="88" spans="1:49" ht="18.75">
      <c r="B88" s="251"/>
      <c r="C88" s="251"/>
      <c r="D88" s="251"/>
      <c r="E88" s="251"/>
      <c r="F88" s="251"/>
      <c r="G88" s="252"/>
      <c r="U88" s="444" t="s">
        <v>3</v>
      </c>
      <c r="V88" s="444"/>
      <c r="W88" s="444"/>
      <c r="X88" s="444"/>
      <c r="Y88" s="444"/>
      <c r="Z88" s="444"/>
      <c r="AA88" s="444"/>
      <c r="AB88" s="444"/>
      <c r="AC88" s="444"/>
      <c r="AD88" s="444"/>
      <c r="AE88" s="444"/>
      <c r="AF88" s="444"/>
    </row>
    <row r="89" spans="1:49">
      <c r="B89" s="251"/>
      <c r="C89" s="251"/>
      <c r="D89" s="251"/>
      <c r="E89" s="251"/>
      <c r="F89" s="251"/>
      <c r="G89" s="255"/>
    </row>
    <row r="90" spans="1:49">
      <c r="B90" s="251"/>
      <c r="C90" s="251"/>
      <c r="D90" s="251"/>
      <c r="E90" s="251"/>
      <c r="F90" s="251"/>
      <c r="G90" s="252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</row>
    <row r="91" spans="1:49">
      <c r="B91" s="251"/>
      <c r="C91" s="251"/>
      <c r="D91" s="251"/>
      <c r="E91" s="251"/>
      <c r="F91" s="251"/>
      <c r="G91" s="251"/>
      <c r="Y91" s="221"/>
      <c r="Z91" s="221"/>
      <c r="AA91" s="445"/>
      <c r="AB91" s="445"/>
      <c r="AC91" s="445"/>
      <c r="AD91" s="445"/>
      <c r="AE91" s="445"/>
      <c r="AF91" s="445"/>
      <c r="AG91" s="221"/>
      <c r="AH91" s="221"/>
    </row>
    <row r="92" spans="1:49">
      <c r="B92" s="251"/>
      <c r="C92" s="251"/>
      <c r="D92" s="251"/>
      <c r="E92" s="251"/>
      <c r="F92" s="251"/>
      <c r="G92" s="251"/>
      <c r="Y92" s="221"/>
      <c r="Z92" s="221"/>
      <c r="AA92" s="445"/>
      <c r="AB92" s="445"/>
      <c r="AC92" s="445"/>
      <c r="AD92" s="445"/>
      <c r="AE92" s="445"/>
      <c r="AF92" s="445"/>
      <c r="AG92" s="221"/>
      <c r="AH92" s="221"/>
    </row>
    <row r="93" spans="1:49">
      <c r="B93" s="251"/>
      <c r="C93" s="251"/>
      <c r="D93" s="251"/>
      <c r="E93" s="251"/>
      <c r="F93" s="251"/>
      <c r="G93" s="251"/>
      <c r="Y93" s="221"/>
      <c r="Z93" s="221"/>
      <c r="AA93" s="445"/>
      <c r="AB93" s="445"/>
      <c r="AC93" s="445"/>
      <c r="AD93" s="445"/>
      <c r="AE93" s="445"/>
      <c r="AF93" s="445"/>
      <c r="AG93" s="221"/>
      <c r="AH93" s="221"/>
    </row>
    <row r="94" spans="1:49">
      <c r="B94" s="251"/>
      <c r="C94" s="251"/>
      <c r="D94" s="251"/>
      <c r="E94" s="251"/>
      <c r="F94" s="251"/>
      <c r="G94" s="251"/>
      <c r="Y94" s="221"/>
      <c r="Z94" s="221"/>
      <c r="AA94" s="445"/>
      <c r="AB94" s="445"/>
      <c r="AC94" s="445"/>
      <c r="AD94" s="445"/>
      <c r="AE94" s="445"/>
      <c r="AF94" s="445"/>
      <c r="AG94" s="221"/>
      <c r="AH94" s="221"/>
    </row>
    <row r="95" spans="1:49">
      <c r="B95" s="251"/>
      <c r="C95" s="251"/>
      <c r="D95" s="251"/>
      <c r="E95" s="251"/>
      <c r="F95" s="251"/>
      <c r="G95" s="251"/>
      <c r="Y95" s="221"/>
      <c r="Z95" s="221"/>
      <c r="AA95" s="445"/>
      <c r="AB95" s="445"/>
      <c r="AC95" s="445"/>
      <c r="AD95" s="445"/>
      <c r="AE95" s="445"/>
      <c r="AF95" s="445"/>
      <c r="AG95" s="221"/>
      <c r="AH95" s="221"/>
    </row>
    <row r="96" spans="1:49">
      <c r="B96" s="251"/>
      <c r="C96" s="251"/>
      <c r="D96" s="251"/>
      <c r="E96" s="251"/>
      <c r="F96" s="251"/>
      <c r="G96" s="251"/>
      <c r="Y96" s="221"/>
      <c r="Z96" s="221"/>
      <c r="AA96" s="445"/>
      <c r="AB96" s="445"/>
      <c r="AC96" s="445"/>
      <c r="AD96" s="445"/>
      <c r="AE96" s="445"/>
      <c r="AF96" s="445"/>
      <c r="AG96" s="221"/>
      <c r="AH96" s="221"/>
    </row>
    <row r="97" spans="1:49">
      <c r="B97" s="251"/>
      <c r="C97" s="251"/>
      <c r="D97" s="251"/>
      <c r="E97" s="251"/>
      <c r="F97" s="251"/>
      <c r="G97" s="251"/>
      <c r="Y97" s="221"/>
      <c r="Z97" s="221"/>
      <c r="AA97" s="445"/>
      <c r="AB97" s="445"/>
      <c r="AC97" s="445"/>
      <c r="AD97" s="445"/>
      <c r="AE97" s="445"/>
      <c r="AF97" s="445"/>
      <c r="AG97" s="221"/>
      <c r="AH97" s="221"/>
    </row>
    <row r="98" spans="1:49">
      <c r="B98" s="251"/>
      <c r="C98" s="251"/>
      <c r="D98" s="251"/>
      <c r="E98" s="251"/>
      <c r="F98" s="251"/>
      <c r="G98" s="251"/>
      <c r="Y98" s="221"/>
      <c r="Z98" s="221"/>
      <c r="AA98" s="445"/>
      <c r="AB98" s="445"/>
      <c r="AC98" s="445"/>
      <c r="AD98" s="445"/>
      <c r="AE98" s="445"/>
      <c r="AF98" s="445"/>
      <c r="AG98" s="221"/>
      <c r="AH98" s="221"/>
    </row>
    <row r="99" spans="1:49"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6"/>
      <c r="M99" s="256"/>
      <c r="N99" s="257"/>
      <c r="O99" s="251"/>
      <c r="P99" s="251"/>
      <c r="Q99" s="251"/>
      <c r="Y99" s="221"/>
      <c r="Z99" s="221"/>
      <c r="AA99" s="445"/>
      <c r="AB99" s="445"/>
      <c r="AC99" s="445"/>
      <c r="AD99" s="445"/>
      <c r="AE99" s="445"/>
      <c r="AF99" s="445"/>
      <c r="AG99" s="221"/>
      <c r="AH99" s="221"/>
    </row>
    <row r="100" spans="1:49" s="244" customFormat="1">
      <c r="A100" s="48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6"/>
      <c r="M100" s="256"/>
      <c r="N100" s="257"/>
      <c r="O100" s="251"/>
      <c r="P100" s="251"/>
      <c r="Q100" s="251"/>
      <c r="R100" s="48"/>
      <c r="S100" s="48"/>
      <c r="T100" s="48"/>
      <c r="U100" s="48"/>
      <c r="V100" s="48"/>
      <c r="W100" s="48"/>
      <c r="X100" s="48"/>
      <c r="Y100" s="221"/>
      <c r="Z100" s="221"/>
      <c r="AA100" s="445"/>
      <c r="AB100" s="445"/>
      <c r="AC100" s="445"/>
      <c r="AD100" s="445"/>
      <c r="AE100" s="445"/>
      <c r="AF100" s="445"/>
      <c r="AG100" s="221"/>
      <c r="AH100" s="221"/>
      <c r="AJ100" s="245"/>
      <c r="AK100" s="48"/>
      <c r="AL100" s="47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 spans="1:49" s="244" customFormat="1">
      <c r="A101" s="48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6"/>
      <c r="M101" s="256"/>
      <c r="N101" s="257"/>
      <c r="O101" s="251"/>
      <c r="P101" s="251"/>
      <c r="Q101" s="251"/>
      <c r="R101" s="48"/>
      <c r="S101" s="48"/>
      <c r="T101" s="48"/>
      <c r="U101" s="48"/>
      <c r="V101" s="48"/>
      <c r="W101" s="48"/>
      <c r="X101" s="48"/>
      <c r="Y101" s="221"/>
      <c r="Z101" s="221"/>
      <c r="AA101" s="445"/>
      <c r="AB101" s="445"/>
      <c r="AC101" s="445"/>
      <c r="AD101" s="445"/>
      <c r="AE101" s="445"/>
      <c r="AF101" s="445"/>
      <c r="AG101" s="221"/>
      <c r="AH101" s="221"/>
      <c r="AJ101" s="245"/>
      <c r="AK101" s="48"/>
      <c r="AL101" s="47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 spans="1:49" s="244" customFormat="1">
      <c r="A102" s="48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6"/>
      <c r="M102" s="256"/>
      <c r="N102" s="257"/>
      <c r="O102" s="251"/>
      <c r="P102" s="251"/>
      <c r="Q102" s="251"/>
      <c r="R102" s="48"/>
      <c r="S102" s="48"/>
      <c r="T102" s="48"/>
      <c r="U102" s="48"/>
      <c r="V102" s="48"/>
      <c r="W102" s="48"/>
      <c r="X102" s="48"/>
      <c r="Y102" s="221"/>
      <c r="Z102" s="221"/>
      <c r="AA102" s="445"/>
      <c r="AB102" s="445"/>
      <c r="AC102" s="445"/>
      <c r="AD102" s="445"/>
      <c r="AE102" s="445"/>
      <c r="AF102" s="445"/>
      <c r="AG102" s="221"/>
      <c r="AH102" s="221"/>
      <c r="AJ102" s="245"/>
      <c r="AK102" s="48"/>
      <c r="AL102" s="47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 spans="1:49" s="244" customFormat="1">
      <c r="A103" s="48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6"/>
      <c r="M103" s="256"/>
      <c r="N103" s="257"/>
      <c r="O103" s="251"/>
      <c r="P103" s="251"/>
      <c r="Q103" s="251"/>
      <c r="R103" s="48"/>
      <c r="S103" s="48"/>
      <c r="T103" s="48"/>
      <c r="U103" s="48"/>
      <c r="V103" s="48"/>
      <c r="W103" s="48"/>
      <c r="X103" s="48"/>
      <c r="Y103" s="221"/>
      <c r="Z103" s="221"/>
      <c r="AA103" s="445"/>
      <c r="AB103" s="445"/>
      <c r="AC103" s="445"/>
      <c r="AD103" s="445"/>
      <c r="AE103" s="445"/>
      <c r="AF103" s="445"/>
      <c r="AG103" s="221"/>
      <c r="AH103" s="221"/>
      <c r="AJ103" s="245"/>
      <c r="AK103" s="48"/>
      <c r="AL103" s="47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 spans="1:49" s="244" customFormat="1">
      <c r="A104" s="48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6"/>
      <c r="M104" s="256"/>
      <c r="N104" s="257"/>
      <c r="O104" s="251"/>
      <c r="P104" s="251"/>
      <c r="Q104" s="251"/>
      <c r="R104" s="48"/>
      <c r="S104" s="48"/>
      <c r="T104" s="48"/>
      <c r="U104" s="48"/>
      <c r="V104" s="48"/>
      <c r="W104" s="48"/>
      <c r="X104" s="48"/>
      <c r="Y104" s="221"/>
      <c r="Z104" s="221"/>
      <c r="AA104" s="445"/>
      <c r="AB104" s="445"/>
      <c r="AC104" s="445"/>
      <c r="AD104" s="445"/>
      <c r="AE104" s="445"/>
      <c r="AF104" s="445"/>
      <c r="AG104" s="221"/>
      <c r="AH104" s="221"/>
      <c r="AJ104" s="245"/>
      <c r="AK104" s="48"/>
      <c r="AL104" s="47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</row>
    <row r="105" spans="1:49" s="244" customFormat="1">
      <c r="A105" s="48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6"/>
      <c r="M105" s="256"/>
      <c r="N105" s="257"/>
      <c r="O105" s="251"/>
      <c r="P105" s="251"/>
      <c r="Q105" s="251"/>
      <c r="R105" s="48"/>
      <c r="S105" s="48"/>
      <c r="T105" s="48"/>
      <c r="U105" s="48"/>
      <c r="V105" s="48"/>
      <c r="W105" s="48"/>
      <c r="X105" s="48"/>
      <c r="Y105" s="221"/>
      <c r="Z105" s="221"/>
      <c r="AA105" s="445"/>
      <c r="AB105" s="445"/>
      <c r="AC105" s="445"/>
      <c r="AD105" s="445"/>
      <c r="AE105" s="445"/>
      <c r="AF105" s="445"/>
      <c r="AG105" s="221"/>
      <c r="AH105" s="221"/>
      <c r="AJ105" s="245"/>
      <c r="AK105" s="48"/>
      <c r="AL105" s="47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</row>
    <row r="106" spans="1:49" s="244" customFormat="1">
      <c r="A106" s="48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6"/>
      <c r="M106" s="256"/>
      <c r="N106" s="257"/>
      <c r="O106" s="251"/>
      <c r="P106" s="251"/>
      <c r="Q106" s="251"/>
      <c r="R106" s="48"/>
      <c r="S106" s="48"/>
      <c r="T106" s="48"/>
      <c r="U106" s="48"/>
      <c r="V106" s="48"/>
      <c r="W106" s="48"/>
      <c r="X106" s="48"/>
      <c r="Y106" s="221"/>
      <c r="Z106" s="221"/>
      <c r="AA106" s="445"/>
      <c r="AB106" s="445"/>
      <c r="AC106" s="445"/>
      <c r="AD106" s="445"/>
      <c r="AE106" s="445"/>
      <c r="AF106" s="445"/>
      <c r="AG106" s="221"/>
      <c r="AH106" s="221"/>
      <c r="AJ106" s="245"/>
      <c r="AK106" s="48"/>
      <c r="AL106" s="47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</row>
    <row r="107" spans="1:49" s="244" customFormat="1">
      <c r="A107" s="48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6"/>
      <c r="M107" s="256"/>
      <c r="N107" s="257"/>
      <c r="O107" s="251"/>
      <c r="P107" s="251"/>
      <c r="Q107" s="251"/>
      <c r="R107" s="48"/>
      <c r="S107" s="48"/>
      <c r="T107" s="48"/>
      <c r="U107" s="48"/>
      <c r="V107" s="48"/>
      <c r="W107" s="48"/>
      <c r="X107" s="48"/>
      <c r="Y107" s="221"/>
      <c r="Z107" s="221"/>
      <c r="AA107" s="445"/>
      <c r="AB107" s="445"/>
      <c r="AC107" s="445"/>
      <c r="AD107" s="445"/>
      <c r="AE107" s="445"/>
      <c r="AF107" s="445"/>
      <c r="AG107" s="221"/>
      <c r="AH107" s="221"/>
      <c r="AJ107" s="245"/>
      <c r="AK107" s="48"/>
      <c r="AL107" s="47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</row>
    <row r="108" spans="1:49" s="244" customFormat="1">
      <c r="A108" s="48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6"/>
      <c r="M108" s="256"/>
      <c r="N108" s="257"/>
      <c r="O108" s="251"/>
      <c r="P108" s="251"/>
      <c r="Q108" s="251"/>
      <c r="R108" s="48"/>
      <c r="S108" s="48"/>
      <c r="T108" s="48"/>
      <c r="U108" s="48"/>
      <c r="V108" s="48"/>
      <c r="W108" s="48"/>
      <c r="X108" s="48"/>
      <c r="Y108" s="221"/>
      <c r="Z108" s="221"/>
      <c r="AA108" s="445"/>
      <c r="AB108" s="445"/>
      <c r="AC108" s="445"/>
      <c r="AD108" s="445"/>
      <c r="AE108" s="445"/>
      <c r="AF108" s="445"/>
      <c r="AG108" s="221"/>
      <c r="AH108" s="221"/>
      <c r="AJ108" s="245"/>
      <c r="AK108" s="48"/>
      <c r="AL108" s="47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</row>
    <row r="109" spans="1:49" s="244" customFormat="1">
      <c r="A109" s="48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6"/>
      <c r="M109" s="256"/>
      <c r="N109" s="257"/>
      <c r="O109" s="251"/>
      <c r="P109" s="251"/>
      <c r="Q109" s="251"/>
      <c r="R109" s="48"/>
      <c r="S109" s="48"/>
      <c r="T109" s="48"/>
      <c r="U109" s="48"/>
      <c r="V109" s="48"/>
      <c r="W109" s="48"/>
      <c r="X109" s="48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J109" s="245"/>
      <c r="AK109" s="48"/>
      <c r="AL109" s="47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</row>
    <row r="110" spans="1:49" s="244" customFormat="1">
      <c r="A110" s="48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6"/>
      <c r="M110" s="256"/>
      <c r="N110" s="257"/>
      <c r="O110" s="251"/>
      <c r="P110" s="251"/>
      <c r="Q110" s="251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J110" s="245"/>
      <c r="AK110" s="48"/>
      <c r="AL110" s="47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</row>
    <row r="111" spans="1:49" s="244" customFormat="1">
      <c r="A111" s="48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6"/>
      <c r="M111" s="256"/>
      <c r="N111" s="257"/>
      <c r="O111" s="251"/>
      <c r="P111" s="251"/>
      <c r="Q111" s="251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J111" s="245"/>
      <c r="AK111" s="48"/>
      <c r="AL111" s="47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</row>
    <row r="112" spans="1:49" s="244" customFormat="1">
      <c r="A112" s="48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6"/>
      <c r="M112" s="256"/>
      <c r="N112" s="257"/>
      <c r="O112" s="251"/>
      <c r="P112" s="251"/>
      <c r="Q112" s="251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J112" s="245"/>
      <c r="AK112" s="48"/>
      <c r="AL112" s="47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</row>
  </sheetData>
  <mergeCells count="288">
    <mergeCell ref="A34:A37"/>
    <mergeCell ref="B32:B33"/>
    <mergeCell ref="A32:A33"/>
    <mergeCell ref="A30:A31"/>
    <mergeCell ref="C32:G32"/>
    <mergeCell ref="C33:G33"/>
    <mergeCell ref="I32:J32"/>
    <mergeCell ref="I33:J33"/>
    <mergeCell ref="AA104:AF104"/>
    <mergeCell ref="K68:S68"/>
    <mergeCell ref="T68:Y68"/>
    <mergeCell ref="Z68:AE68"/>
    <mergeCell ref="AF68:AK68"/>
    <mergeCell ref="C67:E67"/>
    <mergeCell ref="F67:I67"/>
    <mergeCell ref="K67:S67"/>
    <mergeCell ref="T67:Y67"/>
    <mergeCell ref="Z67:AE67"/>
    <mergeCell ref="AF67:AK67"/>
    <mergeCell ref="C66:E66"/>
    <mergeCell ref="F66:I66"/>
    <mergeCell ref="K66:S66"/>
    <mergeCell ref="T66:Y66"/>
    <mergeCell ref="Z66:AE66"/>
    <mergeCell ref="AA105:AF105"/>
    <mergeCell ref="AA106:AF106"/>
    <mergeCell ref="AA107:AF107"/>
    <mergeCell ref="AA108:AF108"/>
    <mergeCell ref="C15:G15"/>
    <mergeCell ref="AA98:AF98"/>
    <mergeCell ref="AA99:AF99"/>
    <mergeCell ref="AA100:AF100"/>
    <mergeCell ref="AA101:AF101"/>
    <mergeCell ref="AA102:AF102"/>
    <mergeCell ref="AA103:AF103"/>
    <mergeCell ref="AA92:AF92"/>
    <mergeCell ref="AA93:AF93"/>
    <mergeCell ref="AA94:AF94"/>
    <mergeCell ref="AA95:AF95"/>
    <mergeCell ref="AA96:AF96"/>
    <mergeCell ref="AA97:AF97"/>
    <mergeCell ref="F81:I81"/>
    <mergeCell ref="K81:S81"/>
    <mergeCell ref="T81:Y81"/>
    <mergeCell ref="Z81:AE81"/>
    <mergeCell ref="AF81:AK81"/>
    <mergeCell ref="C68:E68"/>
    <mergeCell ref="F68:I68"/>
    <mergeCell ref="AQ82:AV82"/>
    <mergeCell ref="A83:J83"/>
    <mergeCell ref="T83:AF83"/>
    <mergeCell ref="U84:AF84"/>
    <mergeCell ref="U88:AF88"/>
    <mergeCell ref="AA91:AF91"/>
    <mergeCell ref="D82:E82"/>
    <mergeCell ref="F82:I82"/>
    <mergeCell ref="K82:S82"/>
    <mergeCell ref="T82:Y82"/>
    <mergeCell ref="Z82:AE82"/>
    <mergeCell ref="AF82:AJ82"/>
    <mergeCell ref="AQ81:AV81"/>
    <mergeCell ref="AQ79:AV79"/>
    <mergeCell ref="F80:I80"/>
    <mergeCell ref="K80:S80"/>
    <mergeCell ref="T80:Y80"/>
    <mergeCell ref="Z80:AE80"/>
    <mergeCell ref="AF80:AK80"/>
    <mergeCell ref="AQ80:AV80"/>
    <mergeCell ref="C79:E79"/>
    <mergeCell ref="F79:I79"/>
    <mergeCell ref="K79:S79"/>
    <mergeCell ref="T79:Y79"/>
    <mergeCell ref="Z79:AE79"/>
    <mergeCell ref="AF79:AK79"/>
    <mergeCell ref="AQ77:AV77"/>
    <mergeCell ref="C78:E78"/>
    <mergeCell ref="F78:I78"/>
    <mergeCell ref="K78:S78"/>
    <mergeCell ref="T78:Y78"/>
    <mergeCell ref="Z78:AE78"/>
    <mergeCell ref="AF78:AK78"/>
    <mergeCell ref="AQ78:AV78"/>
    <mergeCell ref="C77:E77"/>
    <mergeCell ref="F77:I77"/>
    <mergeCell ref="K77:S77"/>
    <mergeCell ref="T77:Y77"/>
    <mergeCell ref="Z77:AE77"/>
    <mergeCell ref="AF77:AK77"/>
    <mergeCell ref="AQ75:AV75"/>
    <mergeCell ref="C76:E76"/>
    <mergeCell ref="F76:I76"/>
    <mergeCell ref="K76:S76"/>
    <mergeCell ref="T76:Y76"/>
    <mergeCell ref="Z76:AE76"/>
    <mergeCell ref="AF76:AK76"/>
    <mergeCell ref="AQ76:AV76"/>
    <mergeCell ref="C75:E75"/>
    <mergeCell ref="F75:I75"/>
    <mergeCell ref="K75:S75"/>
    <mergeCell ref="T75:Y75"/>
    <mergeCell ref="Z75:AE75"/>
    <mergeCell ref="AF75:AK75"/>
    <mergeCell ref="AQ73:AV73"/>
    <mergeCell ref="C74:E74"/>
    <mergeCell ref="F74:I74"/>
    <mergeCell ref="K74:S74"/>
    <mergeCell ref="T74:Y74"/>
    <mergeCell ref="Z74:AE74"/>
    <mergeCell ref="AF74:AK74"/>
    <mergeCell ref="AQ74:AV74"/>
    <mergeCell ref="C73:E73"/>
    <mergeCell ref="F73:I73"/>
    <mergeCell ref="K73:S73"/>
    <mergeCell ref="T73:Y73"/>
    <mergeCell ref="Z73:AE73"/>
    <mergeCell ref="AF73:AK73"/>
    <mergeCell ref="AQ71:AV71"/>
    <mergeCell ref="C72:E72"/>
    <mergeCell ref="F72:I72"/>
    <mergeCell ref="K72:S72"/>
    <mergeCell ref="T72:Y72"/>
    <mergeCell ref="Z72:AE72"/>
    <mergeCell ref="AF72:AK72"/>
    <mergeCell ref="AQ72:AV72"/>
    <mergeCell ref="C71:E71"/>
    <mergeCell ref="F71:I71"/>
    <mergeCell ref="K71:S71"/>
    <mergeCell ref="T71:Y71"/>
    <mergeCell ref="Z71:AE71"/>
    <mergeCell ref="AF71:AK71"/>
    <mergeCell ref="AQ69:AV69"/>
    <mergeCell ref="C70:E70"/>
    <mergeCell ref="F70:I70"/>
    <mergeCell ref="K70:S70"/>
    <mergeCell ref="T70:Y70"/>
    <mergeCell ref="Z70:AE70"/>
    <mergeCell ref="AF70:AK70"/>
    <mergeCell ref="AQ70:AV70"/>
    <mergeCell ref="C69:E69"/>
    <mergeCell ref="F69:I69"/>
    <mergeCell ref="K69:S69"/>
    <mergeCell ref="T69:Y69"/>
    <mergeCell ref="Z69:AE69"/>
    <mergeCell ref="AF69:AK69"/>
    <mergeCell ref="AF66:AK66"/>
    <mergeCell ref="C65:E65"/>
    <mergeCell ref="F65:I65"/>
    <mergeCell ref="K65:S65"/>
    <mergeCell ref="T65:Y65"/>
    <mergeCell ref="Z65:AE65"/>
    <mergeCell ref="AF65:AK65"/>
    <mergeCell ref="Z62:AE63"/>
    <mergeCell ref="AF62:AJ63"/>
    <mergeCell ref="C64:E64"/>
    <mergeCell ref="F64:I64"/>
    <mergeCell ref="K64:S64"/>
    <mergeCell ref="T64:Y64"/>
    <mergeCell ref="Z64:AE64"/>
    <mergeCell ref="AF64:AK64"/>
    <mergeCell ref="A60:J60"/>
    <mergeCell ref="K60:AJ60"/>
    <mergeCell ref="A61:A63"/>
    <mergeCell ref="B61:B63"/>
    <mergeCell ref="C61:E63"/>
    <mergeCell ref="F61:I63"/>
    <mergeCell ref="J61:J63"/>
    <mergeCell ref="K61:S63"/>
    <mergeCell ref="T61:AJ61"/>
    <mergeCell ref="T62:Y63"/>
    <mergeCell ref="C58:G58"/>
    <mergeCell ref="I58:K58"/>
    <mergeCell ref="C59:G59"/>
    <mergeCell ref="S59:T59"/>
    <mergeCell ref="Y59:Z59"/>
    <mergeCell ref="AE59:AF59"/>
    <mergeCell ref="C54:G54"/>
    <mergeCell ref="I54:K54"/>
    <mergeCell ref="C55:G55"/>
    <mergeCell ref="C56:G56"/>
    <mergeCell ref="I56:K56"/>
    <mergeCell ref="C57:G57"/>
    <mergeCell ref="I57:K57"/>
    <mergeCell ref="C50:G50"/>
    <mergeCell ref="I50:K50"/>
    <mergeCell ref="C51:G51"/>
    <mergeCell ref="I51:K51"/>
    <mergeCell ref="C52:G52"/>
    <mergeCell ref="C53:G53"/>
    <mergeCell ref="C46:G46"/>
    <mergeCell ref="I46:K46"/>
    <mergeCell ref="C47:G47"/>
    <mergeCell ref="I47:K47"/>
    <mergeCell ref="C48:G48"/>
    <mergeCell ref="C49:G49"/>
    <mergeCell ref="AH42:AI42"/>
    <mergeCell ref="C43:G43"/>
    <mergeCell ref="I43:K43"/>
    <mergeCell ref="C44:G44"/>
    <mergeCell ref="I44:K44"/>
    <mergeCell ref="C45:G45"/>
    <mergeCell ref="I45:K45"/>
    <mergeCell ref="O41:AI41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Y38:Z38"/>
    <mergeCell ref="AE38:AF38"/>
    <mergeCell ref="C39:G39"/>
    <mergeCell ref="A40:A42"/>
    <mergeCell ref="B40:B42"/>
    <mergeCell ref="C40:G42"/>
    <mergeCell ref="H41:K42"/>
    <mergeCell ref="L41:L42"/>
    <mergeCell ref="M41:M42"/>
    <mergeCell ref="N41:N42"/>
    <mergeCell ref="C38:G38"/>
    <mergeCell ref="S38:T38"/>
    <mergeCell ref="I35:J35"/>
    <mergeCell ref="C36:G36"/>
    <mergeCell ref="I36:J36"/>
    <mergeCell ref="C37:G37"/>
    <mergeCell ref="I37:J37"/>
    <mergeCell ref="B30:B31"/>
    <mergeCell ref="C30:G30"/>
    <mergeCell ref="I30:J30"/>
    <mergeCell ref="C31:G31"/>
    <mergeCell ref="I31:J31"/>
    <mergeCell ref="B34:B37"/>
    <mergeCell ref="C34:G34"/>
    <mergeCell ref="I34:J34"/>
    <mergeCell ref="C35:G35"/>
    <mergeCell ref="Y28:Z28"/>
    <mergeCell ref="AE28:AF28"/>
    <mergeCell ref="B29:G29"/>
    <mergeCell ref="I29:J29"/>
    <mergeCell ref="O29:AI29"/>
    <mergeCell ref="C23:G23"/>
    <mergeCell ref="C24:G24"/>
    <mergeCell ref="C25:G25"/>
    <mergeCell ref="C26:G26"/>
    <mergeCell ref="C27:G27"/>
    <mergeCell ref="S28:T28"/>
    <mergeCell ref="C18:G18"/>
    <mergeCell ref="C19:G19"/>
    <mergeCell ref="C20:G20"/>
    <mergeCell ref="C21:G21"/>
    <mergeCell ref="A22:B22"/>
    <mergeCell ref="C22:G22"/>
    <mergeCell ref="AB14:AC14"/>
    <mergeCell ref="AD14:AE14"/>
    <mergeCell ref="AF14:AG14"/>
    <mergeCell ref="C16:G16"/>
    <mergeCell ref="C17:G17"/>
    <mergeCell ref="M13:M14"/>
    <mergeCell ref="N13:N14"/>
    <mergeCell ref="O13:AI13"/>
    <mergeCell ref="AJ13:AJ14"/>
    <mergeCell ref="P14:Q14"/>
    <mergeCell ref="R14:S14"/>
    <mergeCell ref="T14:U14"/>
    <mergeCell ref="V14:W14"/>
    <mergeCell ref="X14:Y14"/>
    <mergeCell ref="Z14:AA14"/>
    <mergeCell ref="A7:B7"/>
    <mergeCell ref="W8:AJ8"/>
    <mergeCell ref="X11:AJ11"/>
    <mergeCell ref="A12:A14"/>
    <mergeCell ref="B12:B14"/>
    <mergeCell ref="C12:G14"/>
    <mergeCell ref="H13:J14"/>
    <mergeCell ref="K13:K14"/>
    <mergeCell ref="L13:L14"/>
    <mergeCell ref="AH14:AI14"/>
    <mergeCell ref="Q1:X1"/>
    <mergeCell ref="Y1:AF1"/>
    <mergeCell ref="AG1:AJ1"/>
    <mergeCell ref="Q2:X2"/>
    <mergeCell ref="Y2:AF2"/>
    <mergeCell ref="Q3:X5"/>
    <mergeCell ref="Y3:AF5"/>
    <mergeCell ref="AG3:AJ5"/>
    <mergeCell ref="W6:AJ6"/>
  </mergeCells>
  <printOptions horizontalCentered="1"/>
  <pageMargins left="0.35433070866141736" right="0.35433070866141736" top="0.35433070866141736" bottom="0.35433070866141736" header="0.19685039370078741" footer="0.19685039370078741"/>
  <pageSetup paperSize="8" scale="56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23.5.2021</vt:lpstr>
      <vt:lpstr>22.5.2021</vt:lpstr>
      <vt:lpstr>'22.5.2021'!Print_Area</vt:lpstr>
      <vt:lpstr>'23.5.2021'!Print_Area</vt:lpstr>
      <vt:lpstr>'22.5.2021'!xuanhoadao</vt:lpstr>
      <vt:lpstr>'23.5.2021'!xuanhoadao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2021-05-22T09:53:30Z</dcterms:created>
  <dcterms:modified xsi:type="dcterms:W3CDTF">2021-05-23T09:41:37Z</dcterms:modified>
</cp:coreProperties>
</file>